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ristos\Desktop\calude test\Apollon Application\"/>
    </mc:Choice>
  </mc:AlternateContent>
  <bookViews>
    <workbookView xWindow="0" yWindow="0" windowWidth="28800" windowHeight="12585" activeTab="4"/>
  </bookViews>
  <sheets>
    <sheet name="PLAYERS" sheetId="1" r:id="rId1"/>
    <sheet name="ANTHROPOMETRICS" sheetId="2" r:id="rId2"/>
    <sheet name="SCREENING" sheetId="3" r:id="rId3"/>
    <sheet name="PERFORMANCE" sheetId="4" r:id="rId4"/>
    <sheet name="LOCOMOTOR" sheetId="5" r:id="rId5"/>
    <sheet name="REPORT" sheetId="6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6" l="1"/>
  <c r="E20" i="6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W2" i="3"/>
  <c r="E21" i="6" s="1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Z2" i="3"/>
  <c r="E22" i="6" s="1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AC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B15" i="6"/>
  <c r="B22" i="6"/>
  <c r="B23" i="6"/>
  <c r="B9" i="6"/>
  <c r="I15" i="6"/>
  <c r="B10" i="6"/>
  <c r="E14" i="6"/>
  <c r="B29" i="6"/>
  <c r="I18" i="6"/>
  <c r="B26" i="6"/>
  <c r="B27" i="6"/>
  <c r="B18" i="6"/>
  <c r="B25" i="6"/>
  <c r="I14" i="6"/>
  <c r="I16" i="6"/>
  <c r="B14" i="6"/>
  <c r="B17" i="6"/>
  <c r="E3" i="3"/>
  <c r="E2" i="3"/>
  <c r="E15" i="6" s="1"/>
  <c r="E24" i="3"/>
  <c r="H24" i="3"/>
  <c r="K24" i="3"/>
  <c r="N24" i="3"/>
  <c r="Q24" i="3"/>
  <c r="E5" i="5" l="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D2" i="1"/>
  <c r="B8" i="6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M23" i="4"/>
  <c r="M16" i="4"/>
  <c r="M17" i="4"/>
  <c r="M18" i="4"/>
  <c r="M19" i="4"/>
  <c r="M20" i="4"/>
  <c r="M21" i="4"/>
  <c r="M22" i="4"/>
  <c r="M14" i="4"/>
  <c r="M15" i="4"/>
  <c r="M13" i="4"/>
  <c r="M11" i="4"/>
  <c r="M12" i="4"/>
  <c r="M10" i="4"/>
  <c r="M8" i="4"/>
  <c r="M9" i="4"/>
  <c r="M7" i="4"/>
  <c r="M5" i="4"/>
  <c r="M6" i="4"/>
  <c r="D3" i="4"/>
  <c r="D4" i="4"/>
  <c r="M3" i="4"/>
  <c r="M4" i="4"/>
  <c r="D5" i="4" l="1"/>
  <c r="B7" i="6"/>
  <c r="E3" i="5"/>
  <c r="E4" i="5"/>
  <c r="E2" i="5"/>
  <c r="I17" i="6" s="1"/>
  <c r="M2" i="4"/>
  <c r="B28" i="6" s="1"/>
  <c r="D2" i="4"/>
  <c r="B24" i="6" s="1"/>
  <c r="H3" i="3"/>
  <c r="N3" i="3"/>
  <c r="Q3" i="3"/>
  <c r="Q2" i="3"/>
  <c r="N2" i="3"/>
  <c r="E18" i="6" s="1"/>
  <c r="K2" i="3"/>
  <c r="E17" i="6" s="1"/>
  <c r="H2" i="3"/>
  <c r="E16" i="6" s="1"/>
  <c r="E2" i="2"/>
  <c r="B16" i="6" s="1"/>
  <c r="E19" i="6" l="1"/>
  <c r="D6" i="4"/>
  <c r="D7" i="4" l="1"/>
  <c r="D8" i="4" l="1"/>
  <c r="D9" i="4" l="1"/>
  <c r="D10" i="4" l="1"/>
  <c r="D11" i="4" l="1"/>
  <c r="D12" i="4" l="1"/>
  <c r="D13" i="4" l="1"/>
  <c r="D14" i="4" l="1"/>
  <c r="D15" i="4" l="1"/>
  <c r="D16" i="4" l="1"/>
  <c r="D17" i="4" l="1"/>
  <c r="D18" i="4" l="1"/>
  <c r="D19" i="4" l="1"/>
  <c r="D20" i="4" l="1"/>
  <c r="D21" i="4" l="1"/>
  <c r="D22" i="4" l="1"/>
  <c r="D23" i="4"/>
</calcChain>
</file>

<file path=xl/sharedStrings.xml><?xml version="1.0" encoding="utf-8"?>
<sst xmlns="http://schemas.openxmlformats.org/spreadsheetml/2006/main" count="267" uniqueCount="122">
  <si>
    <t>ID</t>
  </si>
  <si>
    <t>Player Name</t>
  </si>
  <si>
    <t>Bith Year</t>
  </si>
  <si>
    <t>Age</t>
  </si>
  <si>
    <t>Possition</t>
  </si>
  <si>
    <t>Team</t>
  </si>
  <si>
    <t>Andreas Michail</t>
  </si>
  <si>
    <t>Apollon</t>
  </si>
  <si>
    <t>Date</t>
  </si>
  <si>
    <t>Players</t>
  </si>
  <si>
    <t>Height (m)</t>
  </si>
  <si>
    <t>Weight (kg)</t>
  </si>
  <si>
    <t>BMI</t>
  </si>
  <si>
    <t>Body Fat (%)</t>
  </si>
  <si>
    <t>Muscle Mass (kg)</t>
  </si>
  <si>
    <t>Player</t>
  </si>
  <si>
    <t>OHS</t>
  </si>
  <si>
    <t>RSI L</t>
  </si>
  <si>
    <t>RSI R</t>
  </si>
  <si>
    <t>RSI Def %</t>
  </si>
  <si>
    <t>Balance L</t>
  </si>
  <si>
    <t>Balance R</t>
  </si>
  <si>
    <t>Balance %</t>
  </si>
  <si>
    <t>Groin L</t>
  </si>
  <si>
    <t>Groin R</t>
  </si>
  <si>
    <t>Groin %</t>
  </si>
  <si>
    <t>Hamstring L</t>
  </si>
  <si>
    <t>Hamstring R</t>
  </si>
  <si>
    <t>Hamstring %</t>
  </si>
  <si>
    <t>Grip L</t>
  </si>
  <si>
    <t>Grip R</t>
  </si>
  <si>
    <t>Grip %</t>
  </si>
  <si>
    <t>SJ</t>
  </si>
  <si>
    <t>CMJ</t>
  </si>
  <si>
    <t>Strenght Def %</t>
  </si>
  <si>
    <t>Peak Power L</t>
  </si>
  <si>
    <t xml:space="preserve">Peak Power R </t>
  </si>
  <si>
    <t>Peak Power %</t>
  </si>
  <si>
    <t>10m</t>
  </si>
  <si>
    <t>40m</t>
  </si>
  <si>
    <t>Reaction Index</t>
  </si>
  <si>
    <t>COD L</t>
  </si>
  <si>
    <t>COD R</t>
  </si>
  <si>
    <t>COD Def %</t>
  </si>
  <si>
    <t>Beep Test</t>
  </si>
  <si>
    <t>Max Acc</t>
  </si>
  <si>
    <t>Max Speed</t>
  </si>
  <si>
    <t>MAS</t>
  </si>
  <si>
    <t>ASR</t>
  </si>
  <si>
    <t>Profile</t>
  </si>
  <si>
    <t>ATHLETE PERFORMANCE REPORT</t>
  </si>
  <si>
    <t>Select Athlete</t>
  </si>
  <si>
    <t>Field</t>
  </si>
  <si>
    <t>Value</t>
  </si>
  <si>
    <t>Name</t>
  </si>
  <si>
    <t>Position</t>
  </si>
  <si>
    <t>ANTHROPOMETRICS</t>
  </si>
  <si>
    <t>SCREENING</t>
  </si>
  <si>
    <t>LOCOMOTOR PROFILING</t>
  </si>
  <si>
    <t>Metric</t>
  </si>
  <si>
    <t>Test</t>
  </si>
  <si>
    <t>Status</t>
  </si>
  <si>
    <t>Height</t>
  </si>
  <si>
    <t>Weight</t>
  </si>
  <si>
    <t>Body Fat</t>
  </si>
  <si>
    <t>Muscle Mass</t>
  </si>
  <si>
    <t>PERFORMANCE</t>
  </si>
  <si>
    <t>Strength Def %</t>
  </si>
  <si>
    <t>Peak Power Def %</t>
  </si>
  <si>
    <t>Ηρακλή Σάββα</t>
  </si>
  <si>
    <t>Χαράλαμπος Χαραλάμπους</t>
  </si>
  <si>
    <t>Γέρου Ανδρέας</t>
  </si>
  <si>
    <t>Τρύφωνας Αντωνίου</t>
  </si>
  <si>
    <t>Ηλίας Χατζησάββα</t>
  </si>
  <si>
    <t xml:space="preserve">Μάριος Ιωάννου </t>
  </si>
  <si>
    <t>Παναγιώτης κ Δώρα Καρεκλά Αγιος Αθανάσιος</t>
  </si>
  <si>
    <t>Defender</t>
  </si>
  <si>
    <t>Goalkeeper</t>
  </si>
  <si>
    <t>Left Midfielder</t>
  </si>
  <si>
    <t>Right Midfielder</t>
  </si>
  <si>
    <t>Left Wing</t>
  </si>
  <si>
    <t>Right Wing</t>
  </si>
  <si>
    <t>Central Back</t>
  </si>
  <si>
    <t>Left Fullback</t>
  </si>
  <si>
    <t>Right Fullback</t>
  </si>
  <si>
    <t>Quad L</t>
  </si>
  <si>
    <t>Quad R</t>
  </si>
  <si>
    <t>Quad %</t>
  </si>
  <si>
    <t>Hip Abd L</t>
  </si>
  <si>
    <t>Hip Abd R</t>
  </si>
  <si>
    <t>Hip Abd %</t>
  </si>
  <si>
    <t>Ankle DF L</t>
  </si>
  <si>
    <t>Ankle DF R</t>
  </si>
  <si>
    <t>Ankle DF %</t>
  </si>
  <si>
    <t>Hop L</t>
  </si>
  <si>
    <t>Hop R</t>
  </si>
  <si>
    <t>Hop %</t>
  </si>
  <si>
    <t>Single-Leg Balance - L/R Asymmetry (%)</t>
  </si>
  <si>
    <t>Reactive Strength Index - L/R Asymmetry (%)</t>
  </si>
  <si>
    <t>Overhead Squat (Mobility Score)</t>
  </si>
  <si>
    <t>Single-Leg Hop Distance - L/R Asymmetry (%)</t>
  </si>
  <si>
    <t>Ankle Mobility (Dorsiflexion) - L/R Asymmetry (%)</t>
  </si>
  <si>
    <t>Hip Abductor Strength - L/R Asymmetry (%)</t>
  </si>
  <si>
    <t>Quadriceps Strength - L/R Asymmetry (%)</t>
  </si>
  <si>
    <t>Grip Strength - L/R Asymmetry (%)</t>
  </si>
  <si>
    <t>Hamstring Strength - L/R Asymmetry (%)</t>
  </si>
  <si>
    <t>Groin (Adductor) Strength - L/R Asymmetry (%)</t>
  </si>
  <si>
    <t>Theodoros Zagorakis</t>
  </si>
  <si>
    <t>Giorgos Karagounis</t>
  </si>
  <si>
    <t>Stelios Giannakopoulos</t>
  </si>
  <si>
    <t>Kostas Katsouranis</t>
  </si>
  <si>
    <t>Michalis Kapsis</t>
  </si>
  <si>
    <t>Traianos Dellas</t>
  </si>
  <si>
    <t>Nikos Dabizas</t>
  </si>
  <si>
    <t>Kostas Manolas</t>
  </si>
  <si>
    <t>Antonios Nikopolidis</t>
  </si>
  <si>
    <t>Vassilis Torosidis</t>
  </si>
  <si>
    <t>Giorgos Samaras</t>
  </si>
  <si>
    <t>Dimitris Salpingidis</t>
  </si>
  <si>
    <t>Konstantinos Mitroglou</t>
  </si>
  <si>
    <t>Sokratis Papastathopoulos</t>
  </si>
  <si>
    <t>Christos Michail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</si>
</sst>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Aptos Narrow"/>
      <scheme val="minor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Fill="1"/>
    <xf numFmtId="1" fontId="0" fillId="0" borderId="0" xfId="0" applyNumberFormat="1"/>
    <xf numFmtId="0" fontId="6" fillId="4" borderId="0" xfId="0" applyNumberFormat="1" applyFont="1" applyFill="1" applyBorder="1"/>
    <xf numFmtId="0" fontId="0" fillId="0" borderId="1" xfId="0" applyNumberFormat="1" applyBorder="1" applyAlignment="1">
      <alignment vertical="center" wrapText="1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7" fillId="0" borderId="2" xfId="0" applyFont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0" fillId="0" borderId="2" xfId="0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0" formatCode="General"/>
    </dxf>
    <dxf>
      <fill>
        <patternFill>
          <bgColor theme="3" tint="0.49998474074526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Players" displayName="tblPlayers" ref="A1:F23" totalsRowShown="0" headerRowDxfId="13">
  <autoFilter ref="A1:F23"/>
  <sortState ref="A2:F23">
    <sortCondition ref="A1:A23"/>
  </sortState>
  <tableColumns count="6">
    <tableColumn id="1" name="ID"/>
    <tableColumn id="2" name="Player Name"/>
    <tableColumn id="3" name="Bith Year"/>
    <tableColumn id="4" name="Age" dataDxfId="12">
      <calculatedColumnFormula>2026-tblPlayers[[#This Row],[Bith Year]]</calculatedColumnFormula>
    </tableColumn>
    <tableColumn id="5" name="Possition"/>
    <tableColumn id="6" name="Tea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nthro" displayName="tblAnthro" ref="A1:G23" totalsRowShown="0">
  <autoFilter ref="A1:G23"/>
  <tableColumns count="7">
    <tableColumn id="1" name="Date"/>
    <tableColumn id="2" name="Players"/>
    <tableColumn id="3" name="Height (m)"/>
    <tableColumn id="4" name="Weight (kg)"/>
    <tableColumn id="5" name="BMI">
      <calculatedColumnFormula>tblAnthro[[#This Row],[Weight (kg)]]/(tblAnthro[[#This Row],[Height (m)]]^2)</calculatedColumnFormula>
    </tableColumn>
    <tableColumn id="6" name="Body Fat (%)"/>
    <tableColumn id="7" name="Muscle Mass (kg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creen" displayName="tblScreen" ref="A1:AC24" totalsRowShown="0">
  <autoFilter ref="A1:AC24"/>
  <tableColumns count="29">
    <tableColumn id="1" name="Player"/>
    <tableColumn id="2" name="OHS"/>
    <tableColumn id="3" name="RSI L"/>
    <tableColumn id="4" name="RSI R"/>
    <tableColumn id="5" name="RSI Def %">
      <calculatedColumnFormula>ABS(tblScreen[[#This Row],[RSI L]]-tblScreen[[#This Row],[RSI R]])/MAX(tblScreen[[#This Row],[RSI L]],tblScreen[[#This Row],[RSI R]])*100</calculatedColumnFormula>
    </tableColumn>
    <tableColumn id="6" name="Balance L"/>
    <tableColumn id="7" name="Balance R"/>
    <tableColumn id="8" name="Balance %">
      <calculatedColumnFormula>ABS(tblScreen[[#This Row],[Balance L]]-tblScreen[[#This Row],[Balance R]])/MAX(tblScreen[[#This Row],[Balance L]],tblScreen[[#This Row],[Balance R]])*100</calculatedColumnFormula>
    </tableColumn>
    <tableColumn id="9" name="Groin L"/>
    <tableColumn id="10" name="Groin R"/>
    <tableColumn id="11" name="Groin %">
      <calculatedColumnFormula>ABS(tblScreen[[#This Row],[Groin L]]-tblScreen[[#This Row],[Groin R]])/MAX(tblScreen[[#This Row],[Groin L]],tblScreen[[#This Row],[Groin R]])*100</calculatedColumnFormula>
    </tableColumn>
    <tableColumn id="12" name="Hamstring L"/>
    <tableColumn id="13" name="Hamstring R"/>
    <tableColumn id="14" name="Hamstring %">
      <calculatedColumnFormula>ABS(tblScreen[[#This Row],[Hamstring L]]-tblScreen[[#This Row],[Hamstring R]])/MAX(tblScreen[[#This Row],[Hamstring L]],tblScreen[[#This Row],[Hamstring R]])*100</calculatedColumnFormula>
    </tableColumn>
    <tableColumn id="15" name="Grip L"/>
    <tableColumn id="16" name="Grip R"/>
    <tableColumn id="17" name="Grip %">
      <calculatedColumnFormula>ABS(tblScreen[[#This Row],[Grip L]]-tblScreen[[#This Row],[Grip R]])/MAX(tblScreen[[#This Row],[Grip L]],tblScreen[[#This Row],[Grip R]])*100</calculatedColumnFormula>
    </tableColumn>
    <tableColumn id="30" name="Quad L"/>
    <tableColumn id="31" name="Quad R"/>
    <tableColumn id="32" name="Quad %">
      <calculatedColumnFormula>IFERROR(ABS(tblScreen[[#This Row],[Quad L]]-tblScreen[[#This Row],[Quad R]])/MAX(tblScreen[[#This Row],[Quad L]],tblScreen[[#This Row],[Quad R]])*100,"")</calculatedColumnFormula>
    </tableColumn>
    <tableColumn id="33" name="Hip Abd L"/>
    <tableColumn id="34" name="Hip Abd R"/>
    <tableColumn id="35" name="Hip Abd %">
      <calculatedColumnFormula>IFERROR(ABS(tblScreen[[#This Row],[Hip Abd L]]-tblScreen[[#This Row],[Hip Abd R]])/MAX(tblScreen[[#This Row],[Hip Abd L]],tblScreen[[#This Row],[Hip Abd R]])*100,"")</calculatedColumnFormula>
    </tableColumn>
    <tableColumn id="36" name="Ankle DF L"/>
    <tableColumn id="37" name="Ankle DF R"/>
    <tableColumn id="38" name="Ankle DF %">
      <calculatedColumnFormula>IFERROR(ABS(tblScreen[[#This Row],[Ankle DF L]]-tblScreen[[#This Row],[Ankle DF R]])/MAX(tblScreen[[#This Row],[Ankle DF L]],tblScreen[[#This Row],[Ankle DF R]])*100,"")</calculatedColumnFormula>
    </tableColumn>
    <tableColumn id="39" name="Hop L"/>
    <tableColumn id="40" name="Hop R"/>
    <tableColumn id="41" name="Hop %">
      <calculatedColumnFormula>IFERROR(ABS(tblScreen[[#This Row],[Hop L]]-tblScreen[[#This Row],[Hop R]])/MAX(tblScreen[[#This Row],[Hop L]],tblScreen[[#This Row],[Hop R]])*100,"")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erf" displayName="tblPerf" ref="A1:N23" totalsRowShown="0">
  <autoFilter ref="A1:N23"/>
  <tableColumns count="14">
    <tableColumn id="1" name="Player" dataDxfId="0"/>
    <tableColumn id="2" name="SJ"/>
    <tableColumn id="3" name="CMJ"/>
    <tableColumn id="4" name="Strenght Def %">
      <calculatedColumnFormula>(tblPerf[[#This Row],[CMJ]]-tblPerf[[#This Row],[SJ]])/tblPerf[[#This Row],[CMJ]]*100</calculatedColumnFormula>
    </tableColumn>
    <tableColumn id="5" name="Peak Power L"/>
    <tableColumn id="6" name="Peak Power R "/>
    <tableColumn id="7" name="Peak Power %"/>
    <tableColumn id="8" name="10m"/>
    <tableColumn id="9" name="40m"/>
    <tableColumn id="10" name="Reaction Index"/>
    <tableColumn id="11" name="COD L"/>
    <tableColumn id="12" name="COD R"/>
    <tableColumn id="13" name="COD Def %">
      <calculatedColumnFormula>ABS(tblPerf[[#This Row],[COD L]]-tblPerf[[#This Row],[COD R]])/MAX(tblPerf[[#This Row],[COD L]],tblPerf[[#This Row],[COD R]])*100</calculatedColumnFormula>
    </tableColumn>
    <tableColumn id="14" name="Beep Te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Loco" displayName="tblLoco" ref="A1:F24" totalsRowShown="0">
  <autoFilter ref="A1:F24"/>
  <tableColumns count="6">
    <tableColumn id="1" name="Player"/>
    <tableColumn id="2" name="Max Acc"/>
    <tableColumn id="3" name="Max Speed"/>
    <tableColumn id="4" name="MAS"/>
    <tableColumn id="5" name="ASR">
      <calculatedColumnFormula>tblLoco[[#This Row],[Max Speed]]-tblLoco[[#This Row],[MAS]]</calculatedColumnFormula>
    </tableColumn>
    <tableColumn id="6" name="Profile" dataDxfId="1">
      <calculatedColumnFormula>IF(tblLoco[[#This Row],[ASR]]&lt;2.5,"Endurance-Based",)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B8" sqref="B8"/>
    </sheetView>
  </sheetViews>
  <sheetFormatPr defaultRowHeight="14.25"/>
  <cols>
    <col min="2" max="2" width="39.875" bestFit="1" customWidth="1"/>
    <col min="3" max="3" width="18.625" customWidth="1"/>
    <col min="4" max="4" width="14.25" customWidth="1"/>
    <col min="5" max="5" width="14.125" customWidth="1"/>
    <col min="6" max="6" width="12.25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s="6">
        <v>1989</v>
      </c>
      <c r="D2">
        <f>2026-tblPlayers[[#This Row],[Bith Year]]</f>
        <v>37</v>
      </c>
      <c r="E2" t="s">
        <v>82</v>
      </c>
      <c r="F2" t="s">
        <v>7</v>
      </c>
    </row>
    <row r="3" spans="1:6">
      <c r="A3">
        <v>2</v>
      </c>
      <c r="B3" t="s">
        <v>111</v>
      </c>
      <c r="C3">
        <v>1990</v>
      </c>
      <c r="D3">
        <f>2026-tblPlayers[[#This Row],[Bith Year]]</f>
        <v>36</v>
      </c>
      <c r="E3" t="s">
        <v>76</v>
      </c>
      <c r="F3" t="s">
        <v>7</v>
      </c>
    </row>
    <row r="4" spans="1:6">
      <c r="A4">
        <v>3</v>
      </c>
      <c r="B4" s="13" t="s">
        <v>69</v>
      </c>
      <c r="C4">
        <v>1997</v>
      </c>
      <c r="D4">
        <f>2026-tblPlayers[[#This Row],[Bith Year]]</f>
        <v>29</v>
      </c>
      <c r="E4" t="s">
        <v>77</v>
      </c>
      <c r="F4" t="s">
        <v>7</v>
      </c>
    </row>
    <row r="5" spans="1:6">
      <c r="A5">
        <v>4</v>
      </c>
      <c r="B5" s="13" t="s">
        <v>116</v>
      </c>
      <c r="C5">
        <v>1995</v>
      </c>
      <c r="D5">
        <f>2026-tblPlayers[[#This Row],[Bith Year]]</f>
        <v>31</v>
      </c>
      <c r="E5" t="s">
        <v>76</v>
      </c>
      <c r="F5" t="s">
        <v>7</v>
      </c>
    </row>
    <row r="6" spans="1:6">
      <c r="A6">
        <v>5</v>
      </c>
      <c r="B6" s="11" t="s">
        <v>107</v>
      </c>
      <c r="C6">
        <v>1996</v>
      </c>
      <c r="D6">
        <f>2026-tblPlayers[[#This Row],[Bith Year]]</f>
        <v>30</v>
      </c>
      <c r="E6" t="s">
        <v>79</v>
      </c>
      <c r="F6" t="s">
        <v>7</v>
      </c>
    </row>
    <row r="7" spans="1:6">
      <c r="A7">
        <v>6</v>
      </c>
      <c r="B7" s="11" t="s">
        <v>121</v>
      </c>
      <c r="C7">
        <v>1998</v>
      </c>
      <c r="D7">
        <f>2026-tblPlayers[[#This Row],[Bith Year]]</f>
        <v>28</v>
      </c>
      <c r="E7" t="s">
        <v>81</v>
      </c>
      <c r="F7" t="s">
        <v>7</v>
      </c>
    </row>
    <row r="8" spans="1:6">
      <c r="A8">
        <v>7</v>
      </c>
      <c r="B8" s="11" t="s">
        <v>70</v>
      </c>
      <c r="C8">
        <v>1997</v>
      </c>
      <c r="D8">
        <f>2026-tblPlayers[[#This Row],[Bith Year]]</f>
        <v>29</v>
      </c>
      <c r="E8" t="s">
        <v>80</v>
      </c>
      <c r="F8" t="s">
        <v>7</v>
      </c>
    </row>
    <row r="9" spans="1:6">
      <c r="A9">
        <v>8</v>
      </c>
      <c r="B9" s="11" t="s">
        <v>71</v>
      </c>
      <c r="C9">
        <v>1992</v>
      </c>
      <c r="D9">
        <f>2026-tblPlayers[[#This Row],[Bith Year]]</f>
        <v>34</v>
      </c>
      <c r="E9" t="s">
        <v>83</v>
      </c>
      <c r="F9" t="s">
        <v>7</v>
      </c>
    </row>
    <row r="10" spans="1:6">
      <c r="A10">
        <v>9</v>
      </c>
      <c r="B10" s="11" t="s">
        <v>115</v>
      </c>
      <c r="C10">
        <v>2000</v>
      </c>
      <c r="D10">
        <f>2026-tblPlayers[[#This Row],[Bith Year]]</f>
        <v>26</v>
      </c>
      <c r="E10" t="s">
        <v>77</v>
      </c>
      <c r="F10" t="s">
        <v>7</v>
      </c>
    </row>
    <row r="11" spans="1:6">
      <c r="A11">
        <v>10</v>
      </c>
      <c r="B11" s="11" t="s">
        <v>114</v>
      </c>
      <c r="C11">
        <v>2001</v>
      </c>
      <c r="D11">
        <f>2026-tblPlayers[[#This Row],[Bith Year]]</f>
        <v>25</v>
      </c>
      <c r="E11" t="s">
        <v>76</v>
      </c>
      <c r="F11" t="s">
        <v>7</v>
      </c>
    </row>
    <row r="12" spans="1:6">
      <c r="A12">
        <v>11</v>
      </c>
      <c r="B12" s="11" t="s">
        <v>72</v>
      </c>
      <c r="C12">
        <v>1999</v>
      </c>
      <c r="D12">
        <f>2026-tblPlayers[[#This Row],[Bith Year]]</f>
        <v>27</v>
      </c>
      <c r="E12" t="s">
        <v>79</v>
      </c>
      <c r="F12" t="s">
        <v>7</v>
      </c>
    </row>
    <row r="13" spans="1:6">
      <c r="A13">
        <v>12</v>
      </c>
      <c r="B13" s="11" t="s">
        <v>117</v>
      </c>
      <c r="C13">
        <v>1995</v>
      </c>
      <c r="D13">
        <f>2026-tblPlayers[[#This Row],[Bith Year]]</f>
        <v>31</v>
      </c>
      <c r="E13" t="s">
        <v>80</v>
      </c>
      <c r="F13" t="s">
        <v>7</v>
      </c>
    </row>
    <row r="14" spans="1:6">
      <c r="A14">
        <v>13</v>
      </c>
      <c r="B14" s="12" t="s">
        <v>120</v>
      </c>
      <c r="C14">
        <v>1996</v>
      </c>
      <c r="D14">
        <f>2026-tblPlayers[[#This Row],[Bith Year]]</f>
        <v>30</v>
      </c>
      <c r="E14" t="s">
        <v>76</v>
      </c>
      <c r="F14" t="s">
        <v>7</v>
      </c>
    </row>
    <row r="15" spans="1:6">
      <c r="A15">
        <v>14</v>
      </c>
      <c r="B15" s="11" t="s">
        <v>109</v>
      </c>
      <c r="C15">
        <v>1998</v>
      </c>
      <c r="D15">
        <f>2026-tblPlayers[[#This Row],[Bith Year]]</f>
        <v>28</v>
      </c>
      <c r="E15" t="s">
        <v>79</v>
      </c>
      <c r="F15" t="s">
        <v>7</v>
      </c>
    </row>
    <row r="16" spans="1:6">
      <c r="A16">
        <v>15</v>
      </c>
      <c r="B16" s="14" t="s">
        <v>112</v>
      </c>
      <c r="C16">
        <v>1997</v>
      </c>
      <c r="D16">
        <f>2026-tblPlayers[[#This Row],[Bith Year]]</f>
        <v>29</v>
      </c>
      <c r="E16" t="s">
        <v>82</v>
      </c>
      <c r="F16" t="s">
        <v>7</v>
      </c>
    </row>
    <row r="17" spans="1:6">
      <c r="A17">
        <v>16</v>
      </c>
      <c r="B17" s="11" t="s">
        <v>73</v>
      </c>
      <c r="C17">
        <v>1992</v>
      </c>
      <c r="D17">
        <f>2026-tblPlayers[[#This Row],[Bith Year]]</f>
        <v>34</v>
      </c>
      <c r="E17" t="s">
        <v>84</v>
      </c>
      <c r="F17" t="s">
        <v>7</v>
      </c>
    </row>
    <row r="18" spans="1:6">
      <c r="A18">
        <v>17</v>
      </c>
      <c r="B18" s="11" t="s">
        <v>119</v>
      </c>
      <c r="C18">
        <v>2000</v>
      </c>
      <c r="D18">
        <f>2026-tblPlayers[[#This Row],[Bith Year]]</f>
        <v>26</v>
      </c>
      <c r="E18" t="s">
        <v>78</v>
      </c>
      <c r="F18" t="s">
        <v>7</v>
      </c>
    </row>
    <row r="19" spans="1:6">
      <c r="A19">
        <v>18</v>
      </c>
      <c r="B19" s="11" t="s">
        <v>118</v>
      </c>
      <c r="C19">
        <v>2001</v>
      </c>
      <c r="D19">
        <f>2026-tblPlayers[[#This Row],[Bith Year]]</f>
        <v>25</v>
      </c>
      <c r="E19" t="s">
        <v>78</v>
      </c>
      <c r="F19" t="s">
        <v>7</v>
      </c>
    </row>
    <row r="20" spans="1:6">
      <c r="A20">
        <v>19</v>
      </c>
      <c r="B20" s="11" t="s">
        <v>110</v>
      </c>
      <c r="C20">
        <v>1996</v>
      </c>
      <c r="D20">
        <f>2026-tblPlayers[[#This Row],[Bith Year]]</f>
        <v>30</v>
      </c>
      <c r="E20" t="s">
        <v>79</v>
      </c>
      <c r="F20" t="s">
        <v>7</v>
      </c>
    </row>
    <row r="21" spans="1:6">
      <c r="A21">
        <v>20</v>
      </c>
      <c r="B21" s="11" t="s">
        <v>74</v>
      </c>
      <c r="C21">
        <v>1998</v>
      </c>
      <c r="D21">
        <f>2026-tblPlayers[[#This Row],[Bith Year]]</f>
        <v>28</v>
      </c>
      <c r="E21" t="s">
        <v>80</v>
      </c>
      <c r="F21" t="s">
        <v>7</v>
      </c>
    </row>
    <row r="22" spans="1:6">
      <c r="A22">
        <v>21</v>
      </c>
      <c r="B22" s="11" t="s">
        <v>108</v>
      </c>
      <c r="C22">
        <v>1997</v>
      </c>
      <c r="D22">
        <f>2026-tblPlayers[[#This Row],[Bith Year]]</f>
        <v>29</v>
      </c>
      <c r="E22" t="s">
        <v>84</v>
      </c>
      <c r="F22" t="s">
        <v>7</v>
      </c>
    </row>
    <row r="23" spans="1:6">
      <c r="A23">
        <v>22</v>
      </c>
      <c r="B23" s="14" t="s">
        <v>113</v>
      </c>
      <c r="C23">
        <v>1997</v>
      </c>
      <c r="D23">
        <f>2026-tblPlayers[[#This Row],[Bith Year]]</f>
        <v>29</v>
      </c>
      <c r="E23" t="s">
        <v>82</v>
      </c>
      <c r="F23" t="s">
        <v>7</v>
      </c>
    </row>
    <row r="24" spans="1:6">
      <c r="B24" s="11"/>
    </row>
    <row r="25" spans="1:6">
      <c r="B25" s="1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B2" sqref="B2:B23"/>
    </sheetView>
  </sheetViews>
  <sheetFormatPr defaultRowHeight="14.25"/>
  <cols>
    <col min="2" max="2" width="17.125" customWidth="1"/>
    <col min="3" max="3" width="12.625" customWidth="1"/>
    <col min="4" max="5" width="13.5" customWidth="1"/>
    <col min="6" max="6" width="14.125" customWidth="1"/>
    <col min="7" max="7" width="18.375" customWidth="1"/>
  </cols>
  <sheetData>
    <row r="1" spans="1:7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>
      <c r="B2" t="s">
        <v>6</v>
      </c>
      <c r="C2">
        <v>173</v>
      </c>
      <c r="D2">
        <v>72</v>
      </c>
      <c r="E2">
        <f>tblAnthro[[#This Row],[Weight (kg)]]/(tblAnthro[[#This Row],[Height (m)]]^2)</f>
        <v>2.4056934745564501E-3</v>
      </c>
      <c r="F2">
        <v>11</v>
      </c>
      <c r="G2">
        <v>52</v>
      </c>
    </row>
    <row r="3" spans="1:7">
      <c r="B3" s="5" t="s">
        <v>111</v>
      </c>
      <c r="C3">
        <v>180</v>
      </c>
      <c r="D3">
        <v>75</v>
      </c>
      <c r="E3">
        <f>tblAnthro[[#This Row],[Weight (kg)]]/(tblAnthro[[#This Row],[Height (m)]]^2)</f>
        <v>2.3148148148148147E-3</v>
      </c>
      <c r="F3">
        <v>12</v>
      </c>
      <c r="G3">
        <v>55</v>
      </c>
    </row>
    <row r="4" spans="1:7">
      <c r="B4" s="5" t="s">
        <v>69</v>
      </c>
      <c r="C4">
        <v>175</v>
      </c>
      <c r="D4">
        <v>70</v>
      </c>
      <c r="E4">
        <f>tblAnthro[[#This Row],[Weight (kg)]]/(tblAnthro[[#This Row],[Height (m)]]^2)</f>
        <v>2.2857142857142859E-3</v>
      </c>
      <c r="F4">
        <v>13</v>
      </c>
      <c r="G4">
        <v>58</v>
      </c>
    </row>
    <row r="5" spans="1:7">
      <c r="B5" s="5" t="s">
        <v>116</v>
      </c>
      <c r="C5">
        <v>189</v>
      </c>
      <c r="D5">
        <v>80</v>
      </c>
      <c r="E5">
        <f>tblAnthro[[#This Row],[Weight (kg)]]/(tblAnthro[[#This Row],[Height (m)]]^2)</f>
        <v>2.2395789591556788E-3</v>
      </c>
      <c r="F5">
        <v>11</v>
      </c>
      <c r="G5">
        <v>54</v>
      </c>
    </row>
    <row r="6" spans="1:7">
      <c r="B6" s="5" t="s">
        <v>107</v>
      </c>
      <c r="C6">
        <v>174</v>
      </c>
      <c r="D6">
        <v>74</v>
      </c>
      <c r="E6">
        <f>tblAnthro[[#This Row],[Weight (kg)]]/(tblAnthro[[#This Row],[Height (m)]]^2)</f>
        <v>2.4441802087462015E-3</v>
      </c>
      <c r="F6">
        <v>9</v>
      </c>
      <c r="G6">
        <v>59</v>
      </c>
    </row>
    <row r="7" spans="1:7">
      <c r="B7" s="5" t="s">
        <v>121</v>
      </c>
      <c r="C7">
        <v>169</v>
      </c>
      <c r="D7">
        <v>70</v>
      </c>
      <c r="E7">
        <f>tblAnthro[[#This Row],[Weight (kg)]]/(tblAnthro[[#This Row],[Height (m)]]^2)</f>
        <v>2.4508945765204298E-3</v>
      </c>
      <c r="F7">
        <v>8</v>
      </c>
      <c r="G7">
        <v>56</v>
      </c>
    </row>
    <row r="8" spans="1:7">
      <c r="B8" s="5" t="s">
        <v>70</v>
      </c>
      <c r="C8">
        <v>180</v>
      </c>
      <c r="D8">
        <v>75</v>
      </c>
      <c r="E8">
        <f>tblAnthro[[#This Row],[Weight (kg)]]/(tblAnthro[[#This Row],[Height (m)]]^2)</f>
        <v>2.3148148148148147E-3</v>
      </c>
      <c r="F8">
        <v>7</v>
      </c>
      <c r="G8">
        <v>57</v>
      </c>
    </row>
    <row r="9" spans="1:7">
      <c r="B9" s="5" t="s">
        <v>71</v>
      </c>
      <c r="C9">
        <v>174</v>
      </c>
      <c r="D9">
        <v>70</v>
      </c>
      <c r="E9">
        <f>tblAnthro[[#This Row],[Weight (kg)]]/(tblAnthro[[#This Row],[Height (m)]]^2)</f>
        <v>2.3120623596247854E-3</v>
      </c>
      <c r="F9">
        <v>6</v>
      </c>
      <c r="G9">
        <v>52</v>
      </c>
    </row>
    <row r="10" spans="1:7">
      <c r="B10" s="5" t="s">
        <v>115</v>
      </c>
      <c r="C10">
        <v>175</v>
      </c>
      <c r="D10">
        <v>70</v>
      </c>
      <c r="E10">
        <f>tblAnthro[[#This Row],[Weight (kg)]]/(tblAnthro[[#This Row],[Height (m)]]^2)</f>
        <v>2.2857142857142859E-3</v>
      </c>
      <c r="F10">
        <v>10</v>
      </c>
      <c r="G10">
        <v>56</v>
      </c>
    </row>
    <row r="11" spans="1:7">
      <c r="B11" s="5" t="s">
        <v>114</v>
      </c>
      <c r="C11">
        <v>175</v>
      </c>
      <c r="D11">
        <v>72</v>
      </c>
      <c r="E11">
        <f>tblAnthro[[#This Row],[Weight (kg)]]/(tblAnthro[[#This Row],[Height (m)]]^2)</f>
        <v>2.3510204081632654E-3</v>
      </c>
      <c r="F11">
        <v>11</v>
      </c>
      <c r="G11">
        <v>53</v>
      </c>
    </row>
    <row r="12" spans="1:7">
      <c r="B12" s="5" t="s">
        <v>72</v>
      </c>
      <c r="C12">
        <v>189</v>
      </c>
      <c r="D12">
        <v>71</v>
      </c>
      <c r="E12">
        <f>tblAnthro[[#This Row],[Weight (kg)]]/(tblAnthro[[#This Row],[Height (m)]]^2)</f>
        <v>1.9876263262506651E-3</v>
      </c>
      <c r="F12">
        <v>12</v>
      </c>
      <c r="G12">
        <v>58</v>
      </c>
    </row>
    <row r="13" spans="1:7">
      <c r="B13" s="5" t="s">
        <v>117</v>
      </c>
      <c r="C13">
        <v>174</v>
      </c>
      <c r="D13">
        <v>73</v>
      </c>
      <c r="E13">
        <f>tblAnthro[[#This Row],[Weight (kg)]]/(tblAnthro[[#This Row],[Height (m)]]^2)</f>
        <v>2.4111507464658474E-3</v>
      </c>
      <c r="F13">
        <v>10</v>
      </c>
      <c r="G13">
        <v>60</v>
      </c>
    </row>
    <row r="14" spans="1:7">
      <c r="B14" s="5" t="s">
        <v>120</v>
      </c>
      <c r="C14">
        <v>169</v>
      </c>
      <c r="D14">
        <v>75</v>
      </c>
      <c r="E14">
        <f>tblAnthro[[#This Row],[Weight (kg)]]/(tblAnthro[[#This Row],[Height (m)]]^2)</f>
        <v>2.6259584748433177E-3</v>
      </c>
      <c r="F14">
        <v>9</v>
      </c>
      <c r="G14">
        <v>51</v>
      </c>
    </row>
    <row r="15" spans="1:7">
      <c r="B15" s="5" t="s">
        <v>109</v>
      </c>
      <c r="C15">
        <v>180</v>
      </c>
      <c r="D15">
        <v>74</v>
      </c>
      <c r="E15">
        <f>tblAnthro[[#This Row],[Weight (kg)]]/(tblAnthro[[#This Row],[Height (m)]]^2)</f>
        <v>2.2839506172839508E-3</v>
      </c>
      <c r="F15">
        <v>14</v>
      </c>
      <c r="G15">
        <v>58</v>
      </c>
    </row>
    <row r="16" spans="1:7">
      <c r="B16" s="5" t="s">
        <v>112</v>
      </c>
      <c r="C16">
        <v>175</v>
      </c>
      <c r="D16">
        <v>72</v>
      </c>
      <c r="E16">
        <f>tblAnthro[[#This Row],[Weight (kg)]]/(tblAnthro[[#This Row],[Height (m)]]^2)</f>
        <v>2.3510204081632654E-3</v>
      </c>
      <c r="F16">
        <v>15</v>
      </c>
      <c r="G16">
        <v>59</v>
      </c>
    </row>
    <row r="17" spans="2:7">
      <c r="B17" s="5" t="s">
        <v>73</v>
      </c>
      <c r="C17">
        <v>175</v>
      </c>
      <c r="D17">
        <v>78</v>
      </c>
      <c r="E17">
        <f>tblAnthro[[#This Row],[Weight (kg)]]/(tblAnthro[[#This Row],[Height (m)]]^2)</f>
        <v>2.5469387755102041E-3</v>
      </c>
      <c r="F17">
        <v>10</v>
      </c>
      <c r="G17">
        <v>57</v>
      </c>
    </row>
    <row r="18" spans="2:7">
      <c r="B18" s="5" t="s">
        <v>119</v>
      </c>
      <c r="C18">
        <v>189</v>
      </c>
      <c r="D18">
        <v>78</v>
      </c>
      <c r="E18">
        <f>tblAnthro[[#This Row],[Weight (kg)]]/(tblAnthro[[#This Row],[Height (m)]]^2)</f>
        <v>2.1835894851767869E-3</v>
      </c>
      <c r="F18">
        <v>8</v>
      </c>
      <c r="G18">
        <v>59</v>
      </c>
    </row>
    <row r="19" spans="2:7">
      <c r="B19" s="5" t="s">
        <v>118</v>
      </c>
      <c r="C19">
        <v>171</v>
      </c>
      <c r="D19">
        <v>71</v>
      </c>
      <c r="E19">
        <f>tblAnthro[[#This Row],[Weight (kg)]]/(tblAnthro[[#This Row],[Height (m)]]^2)</f>
        <v>2.4280975342840534E-3</v>
      </c>
      <c r="F19">
        <v>9</v>
      </c>
      <c r="G19">
        <v>56</v>
      </c>
    </row>
    <row r="20" spans="2:7">
      <c r="B20" s="5" t="s">
        <v>110</v>
      </c>
      <c r="C20">
        <v>172</v>
      </c>
      <c r="D20">
        <v>69</v>
      </c>
      <c r="E20">
        <f>tblAnthro[[#This Row],[Weight (kg)]]/(tblAnthro[[#This Row],[Height (m)]]^2)</f>
        <v>2.332341806381828E-3</v>
      </c>
      <c r="F20">
        <v>7</v>
      </c>
      <c r="G20">
        <v>59</v>
      </c>
    </row>
    <row r="21" spans="2:7">
      <c r="B21" s="5" t="s">
        <v>74</v>
      </c>
      <c r="C21">
        <v>185</v>
      </c>
      <c r="D21">
        <v>76</v>
      </c>
      <c r="E21">
        <f>tblAnthro[[#This Row],[Weight (kg)]]/(tblAnthro[[#This Row],[Height (m)]]^2)</f>
        <v>2.2205989773557339E-3</v>
      </c>
      <c r="F21">
        <v>8</v>
      </c>
      <c r="G21">
        <v>52</v>
      </c>
    </row>
    <row r="22" spans="2:7">
      <c r="B22" s="5" t="s">
        <v>108</v>
      </c>
      <c r="C22">
        <v>183</v>
      </c>
      <c r="D22">
        <v>78</v>
      </c>
      <c r="E22">
        <f>tblAnthro[[#This Row],[Weight (kg)]]/(tblAnthro[[#This Row],[Height (m)]]^2)</f>
        <v>2.3291229956104989E-3</v>
      </c>
      <c r="F22">
        <v>9</v>
      </c>
      <c r="G22">
        <v>51</v>
      </c>
    </row>
    <row r="23" spans="2:7">
      <c r="B23" s="5" t="s">
        <v>113</v>
      </c>
      <c r="C23">
        <v>180</v>
      </c>
      <c r="D23">
        <v>74</v>
      </c>
      <c r="E23">
        <f>tblAnthro[[#This Row],[Weight (kg)]]/(tblAnthro[[#This Row],[Height (m)]]^2)</f>
        <v>2.2839506172839508E-3</v>
      </c>
      <c r="F23">
        <v>10</v>
      </c>
      <c r="G23">
        <v>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Views>
    <sheetView workbookViewId="0">
      <selection activeCell="D42" sqref="D42"/>
    </sheetView>
  </sheetViews>
  <sheetFormatPr defaultRowHeight="14.25"/>
  <cols>
    <col min="1" max="1" width="22.375" customWidth="1"/>
    <col min="2" max="2" width="14.375" customWidth="1"/>
    <col min="3" max="3" width="14.25" customWidth="1"/>
    <col min="5" max="5" width="11.875" customWidth="1"/>
    <col min="6" max="6" width="12.25" customWidth="1"/>
    <col min="7" max="7" width="19" customWidth="1"/>
    <col min="8" max="8" width="21" customWidth="1"/>
    <col min="9" max="9" width="19.375" customWidth="1"/>
    <col min="10" max="10" width="18.375" customWidth="1"/>
    <col min="11" max="11" width="19" customWidth="1"/>
    <col min="12" max="12" width="18.25" customWidth="1"/>
    <col min="13" max="13" width="19.5" customWidth="1"/>
    <col min="14" max="14" width="19.125" customWidth="1"/>
    <col min="15" max="15" width="19.75" customWidth="1"/>
    <col min="16" max="16" width="19.375" customWidth="1"/>
    <col min="17" max="17" width="16.375" customWidth="1"/>
    <col min="18" max="18" width="19.75" customWidth="1"/>
    <col min="19" max="19" width="19.375" customWidth="1"/>
    <col min="20" max="20" width="16.375" customWidth="1"/>
    <col min="21" max="21" width="19.75" customWidth="1"/>
    <col min="22" max="22" width="19.375" customWidth="1"/>
    <col min="23" max="23" width="16.375" customWidth="1"/>
    <col min="24" max="24" width="19.75" customWidth="1"/>
    <col min="25" max="25" width="19.375" customWidth="1"/>
    <col min="26" max="26" width="16.375" customWidth="1"/>
    <col min="27" max="27" width="19.75" customWidth="1"/>
    <col min="28" max="28" width="19.375" customWidth="1"/>
    <col min="29" max="29" width="16.375" customWidth="1"/>
  </cols>
  <sheetData>
    <row r="1" spans="1:29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s="7" t="s">
        <v>85</v>
      </c>
      <c r="S1" s="7" t="s">
        <v>86</v>
      </c>
      <c r="T1" s="7" t="s">
        <v>87</v>
      </c>
      <c r="U1" s="7" t="s">
        <v>88</v>
      </c>
      <c r="V1" s="7" t="s">
        <v>89</v>
      </c>
      <c r="W1" s="7" t="s">
        <v>90</v>
      </c>
      <c r="X1" s="7" t="s">
        <v>91</v>
      </c>
      <c r="Y1" s="7" t="s">
        <v>92</v>
      </c>
      <c r="Z1" s="7" t="s">
        <v>93</v>
      </c>
      <c r="AA1" s="7" t="s">
        <v>94</v>
      </c>
      <c r="AB1" s="7" t="s">
        <v>95</v>
      </c>
      <c r="AC1" s="7" t="s">
        <v>96</v>
      </c>
    </row>
    <row r="2" spans="1:29">
      <c r="A2" t="s">
        <v>6</v>
      </c>
      <c r="B2">
        <v>5</v>
      </c>
      <c r="C2">
        <v>1.26</v>
      </c>
      <c r="D2">
        <v>1.54</v>
      </c>
      <c r="E2">
        <f>ABS(tblScreen[[#This Row],[RSI L]]-tblScreen[[#This Row],[RSI R]])/MAX(tblScreen[[#This Row],[RSI L]],tblScreen[[#This Row],[RSI R]])*100</f>
        <v>18.181818181818183</v>
      </c>
      <c r="F2">
        <v>65</v>
      </c>
      <c r="G2">
        <v>35</v>
      </c>
      <c r="H2">
        <f>ABS(tblScreen[[#This Row],[Balance L]]-tblScreen[[#This Row],[Balance R]])/MAX(tblScreen[[#This Row],[Balance L]],tblScreen[[#This Row],[Balance R]])*100</f>
        <v>46.153846153846153</v>
      </c>
      <c r="I2">
        <v>48.9</v>
      </c>
      <c r="J2">
        <v>51.9</v>
      </c>
      <c r="K2">
        <f>ABS(tblScreen[[#This Row],[Groin L]]-tblScreen[[#This Row],[Groin R]])/MAX(tblScreen[[#This Row],[Groin L]],tblScreen[[#This Row],[Groin R]])*100</f>
        <v>5.7803468208092488</v>
      </c>
      <c r="L2">
        <v>23.2</v>
      </c>
      <c r="M2">
        <v>26.2</v>
      </c>
      <c r="N2">
        <f>ABS(tblScreen[[#This Row],[Hamstring L]]-tblScreen[[#This Row],[Hamstring R]])/MAX(tblScreen[[#This Row],[Hamstring L]],tblScreen[[#This Row],[Hamstring R]])*100</f>
        <v>11.450381679389313</v>
      </c>
      <c r="O2">
        <v>42.1</v>
      </c>
      <c r="P2">
        <v>36.299999999999997</v>
      </c>
      <c r="Q2">
        <f>ABS(tblScreen[[#This Row],[Grip L]]-tblScreen[[#This Row],[Grip R]])/MAX(tblScreen[[#This Row],[Grip L]],tblScreen[[#This Row],[Grip R]])*100</f>
        <v>13.776722090261293</v>
      </c>
      <c r="R2" s="7"/>
      <c r="S2" s="7"/>
      <c r="T2" s="7" t="str">
        <f>IFERROR(ABS(tblScreen[[#This Row],[Quad L]]-tblScreen[[#This Row],[Quad R]])/MAX(tblScreen[[#This Row],[Quad L]],tblScreen[[#This Row],[Quad R]])*100,"")</f>
        <v/>
      </c>
      <c r="U2" s="7"/>
      <c r="V2" s="7"/>
      <c r="W2" s="7" t="str">
        <f>IFERROR(ABS(tblScreen[[#This Row],[Hip Abd L]]-tblScreen[[#This Row],[Hip Abd R]])/MAX(tblScreen[[#This Row],[Hip Abd L]],tblScreen[[#This Row],[Hip Abd R]])*100,"")</f>
        <v/>
      </c>
      <c r="X2" s="7"/>
      <c r="Y2" s="7"/>
      <c r="Z2" s="7" t="str">
        <f>IFERROR(ABS(tblScreen[[#This Row],[Ankle DF L]]-tblScreen[[#This Row],[Ankle DF R]])/MAX(tblScreen[[#This Row],[Ankle DF L]],tblScreen[[#This Row],[Ankle DF R]])*100,"")</f>
        <v/>
      </c>
      <c r="AA2" s="7"/>
      <c r="AB2" s="7"/>
      <c r="AC2" s="7" t="str">
        <f>IFERROR(ABS(tblScreen[[#This Row],[Hop L]]-tblScreen[[#This Row],[Hop R]])/MAX(tblScreen[[#This Row],[Hop L]],tblScreen[[#This Row],[Hop R]])*100,"")</f>
        <v/>
      </c>
    </row>
    <row r="3" spans="1:29">
      <c r="A3" s="5" t="s">
        <v>111</v>
      </c>
      <c r="B3">
        <v>4.5</v>
      </c>
      <c r="C3">
        <v>1.45</v>
      </c>
      <c r="D3">
        <v>1.65</v>
      </c>
      <c r="E3">
        <f>ABS(tblScreen[[#This Row],[RSI L]]-tblScreen[[#This Row],[RSI R]])/MAX(tblScreen[[#This Row],[RSI L]],tblScreen[[#This Row],[RSI R]])*100</f>
        <v>12.121212121212119</v>
      </c>
      <c r="F3">
        <v>63</v>
      </c>
      <c r="G3">
        <v>38</v>
      </c>
      <c r="H3">
        <f>ABS(tblScreen[[#This Row],[Balance L]]-tblScreen[[#This Row],[Balance R]])/MAX(tblScreen[[#This Row],[Balance L]],tblScreen[[#This Row],[Balance R]])*100</f>
        <v>39.682539682539684</v>
      </c>
      <c r="I3">
        <v>47.9</v>
      </c>
      <c r="J3">
        <v>52</v>
      </c>
      <c r="L3">
        <v>22.5</v>
      </c>
      <c r="M3">
        <v>25.5</v>
      </c>
      <c r="N3">
        <f>ABS(tblScreen[[#This Row],[Hamstring L]]-tblScreen[[#This Row],[Hamstring R]])/MAX(tblScreen[[#This Row],[Hamstring L]],tblScreen[[#This Row],[Hamstring R]])*100</f>
        <v>11.76470588235294</v>
      </c>
      <c r="O3">
        <v>43.5</v>
      </c>
      <c r="P3">
        <v>35.9</v>
      </c>
      <c r="Q3">
        <f>ABS(tblScreen[[#This Row],[Grip L]]-tblScreen[[#This Row],[Grip R]])/MAX(tblScreen[[#This Row],[Grip L]],tblScreen[[#This Row],[Grip R]])*100</f>
        <v>17.471264367816094</v>
      </c>
      <c r="R3" s="7"/>
      <c r="S3" s="7"/>
      <c r="T3" s="7" t="str">
        <f>IFERROR(ABS(tblScreen[[#This Row],[Quad L]]-tblScreen[[#This Row],[Quad R]])/MAX(tblScreen[[#This Row],[Quad L]],tblScreen[[#This Row],[Quad R]])*100,"")</f>
        <v/>
      </c>
      <c r="U3" s="7"/>
      <c r="V3" s="7"/>
      <c r="W3" s="7" t="str">
        <f>IFERROR(ABS(tblScreen[[#This Row],[Hip Abd L]]-tblScreen[[#This Row],[Hip Abd R]])/MAX(tblScreen[[#This Row],[Hip Abd L]],tblScreen[[#This Row],[Hip Abd R]])*100,"")</f>
        <v/>
      </c>
      <c r="X3" s="7"/>
      <c r="Y3" s="7"/>
      <c r="Z3" s="7" t="str">
        <f>IFERROR(ABS(tblScreen[[#This Row],[Ankle DF L]]-tblScreen[[#This Row],[Ankle DF R]])/MAX(tblScreen[[#This Row],[Ankle DF L]],tblScreen[[#This Row],[Ankle DF R]])*100,"")</f>
        <v/>
      </c>
      <c r="AA3" s="7"/>
      <c r="AB3" s="7"/>
      <c r="AC3" s="7" t="str">
        <f>IFERROR(ABS(tblScreen[[#This Row],[Hop L]]-tblScreen[[#This Row],[Hop R]])/MAX(tblScreen[[#This Row],[Hop L]],tblScreen[[#This Row],[Hop R]])*100,"")</f>
        <v/>
      </c>
    </row>
    <row r="4" spans="1:29">
      <c r="A4" s="5" t="s">
        <v>69</v>
      </c>
      <c r="B4">
        <v>5.6</v>
      </c>
      <c r="C4">
        <v>1.65</v>
      </c>
      <c r="D4">
        <v>1.6</v>
      </c>
      <c r="E4">
        <f>ABS(tblScreen[[#This Row],[RSI L]]-tblScreen[[#This Row],[RSI R]])/MAX(tblScreen[[#This Row],[RSI L]],tblScreen[[#This Row],[RSI R]])*100</f>
        <v>3.0303030303030196</v>
      </c>
      <c r="F4">
        <v>60</v>
      </c>
      <c r="G4">
        <v>34</v>
      </c>
      <c r="H4">
        <f>ABS(tblScreen[[#This Row],[Balance L]]-tblScreen[[#This Row],[Balance R]])/MAX(tblScreen[[#This Row],[Balance L]],tblScreen[[#This Row],[Balance R]])*100</f>
        <v>43.333333333333336</v>
      </c>
      <c r="I4">
        <v>49</v>
      </c>
      <c r="J4">
        <v>51.5</v>
      </c>
      <c r="K4">
        <f>ABS(tblScreen[[#This Row],[Groin L]]-tblScreen[[#This Row],[Groin R]])/MAX(tblScreen[[#This Row],[Groin L]],tblScreen[[#This Row],[Groin R]])*100</f>
        <v>4.8543689320388346</v>
      </c>
      <c r="L4">
        <v>22.3</v>
      </c>
      <c r="M4">
        <v>25.9</v>
      </c>
      <c r="N4">
        <f>ABS(tblScreen[[#This Row],[Hamstring L]]-tblScreen[[#This Row],[Hamstring R]])/MAX(tblScreen[[#This Row],[Hamstring L]],tblScreen[[#This Row],[Hamstring R]])*100</f>
        <v>13.899613899613891</v>
      </c>
      <c r="O4">
        <v>42.6</v>
      </c>
      <c r="P4">
        <v>36.5</v>
      </c>
      <c r="Q4">
        <f>ABS(tblScreen[[#This Row],[Grip L]]-tblScreen[[#This Row],[Grip R]])/MAX(tblScreen[[#This Row],[Grip L]],tblScreen[[#This Row],[Grip R]])*100</f>
        <v>14.319248826291084</v>
      </c>
      <c r="R4" s="7"/>
      <c r="S4" s="7"/>
      <c r="T4" s="7" t="str">
        <f>IFERROR(ABS(tblScreen[[#This Row],[Quad L]]-tblScreen[[#This Row],[Quad R]])/MAX(tblScreen[[#This Row],[Quad L]],tblScreen[[#This Row],[Quad R]])*100,"")</f>
        <v/>
      </c>
      <c r="U4" s="7"/>
      <c r="V4" s="7"/>
      <c r="W4" s="7" t="str">
        <f>IFERROR(ABS(tblScreen[[#This Row],[Hip Abd L]]-tblScreen[[#This Row],[Hip Abd R]])/MAX(tblScreen[[#This Row],[Hip Abd L]],tblScreen[[#This Row],[Hip Abd R]])*100,"")</f>
        <v/>
      </c>
      <c r="X4" s="7"/>
      <c r="Y4" s="7"/>
      <c r="Z4" s="7" t="str">
        <f>IFERROR(ABS(tblScreen[[#This Row],[Ankle DF L]]-tblScreen[[#This Row],[Ankle DF R]])/MAX(tblScreen[[#This Row],[Ankle DF L]],tblScreen[[#This Row],[Ankle DF R]])*100,"")</f>
        <v/>
      </c>
      <c r="AA4" s="7"/>
      <c r="AB4" s="7"/>
      <c r="AC4" s="7" t="str">
        <f>IFERROR(ABS(tblScreen[[#This Row],[Hop L]]-tblScreen[[#This Row],[Hop R]])/MAX(tblScreen[[#This Row],[Hop L]],tblScreen[[#This Row],[Hop R]])*100,"")</f>
        <v/>
      </c>
    </row>
    <row r="5" spans="1:29">
      <c r="A5" s="5" t="s">
        <v>116</v>
      </c>
      <c r="B5">
        <v>5.7</v>
      </c>
      <c r="C5">
        <v>1.9</v>
      </c>
      <c r="D5">
        <v>1.54</v>
      </c>
      <c r="E5">
        <f>ABS(tblScreen[[#This Row],[RSI L]]-tblScreen[[#This Row],[RSI R]])/MAX(tblScreen[[#This Row],[RSI L]],tblScreen[[#This Row],[RSI R]])*100</f>
        <v>18.947368421052627</v>
      </c>
      <c r="F5">
        <v>59</v>
      </c>
      <c r="G5">
        <v>36</v>
      </c>
      <c r="H5">
        <f>ABS(tblScreen[[#This Row],[Balance L]]-tblScreen[[#This Row],[Balance R]])/MAX(tblScreen[[#This Row],[Balance L]],tblScreen[[#This Row],[Balance R]])*100</f>
        <v>38.983050847457626</v>
      </c>
      <c r="I5">
        <v>48.5</v>
      </c>
      <c r="J5">
        <v>50.5</v>
      </c>
      <c r="K5">
        <f>ABS(tblScreen[[#This Row],[Groin L]]-tblScreen[[#This Row],[Groin R]])/MAX(tblScreen[[#This Row],[Groin L]],tblScreen[[#This Row],[Groin R]])*100</f>
        <v>3.9603960396039604</v>
      </c>
      <c r="L5">
        <v>22.9</v>
      </c>
      <c r="M5">
        <v>2.6</v>
      </c>
      <c r="N5">
        <f>ABS(tblScreen[[#This Row],[Hamstring L]]-tblScreen[[#This Row],[Hamstring R]])/MAX(tblScreen[[#This Row],[Hamstring L]],tblScreen[[#This Row],[Hamstring R]])*100</f>
        <v>88.646288209606979</v>
      </c>
      <c r="O5">
        <v>42.5</v>
      </c>
      <c r="P5">
        <v>36.9</v>
      </c>
      <c r="Q5">
        <f>ABS(tblScreen[[#This Row],[Grip L]]-tblScreen[[#This Row],[Grip R]])/MAX(tblScreen[[#This Row],[Grip L]],tblScreen[[#This Row],[Grip R]])*100</f>
        <v>13.176470588235297</v>
      </c>
      <c r="R5" s="7"/>
      <c r="S5" s="7"/>
      <c r="T5" s="7" t="str">
        <f>IFERROR(ABS(tblScreen[[#This Row],[Quad L]]-tblScreen[[#This Row],[Quad R]])/MAX(tblScreen[[#This Row],[Quad L]],tblScreen[[#This Row],[Quad R]])*100,"")</f>
        <v/>
      </c>
      <c r="U5" s="7"/>
      <c r="V5" s="7"/>
      <c r="W5" s="7" t="str">
        <f>IFERROR(ABS(tblScreen[[#This Row],[Hip Abd L]]-tblScreen[[#This Row],[Hip Abd R]])/MAX(tblScreen[[#This Row],[Hip Abd L]],tblScreen[[#This Row],[Hip Abd R]])*100,"")</f>
        <v/>
      </c>
      <c r="X5" s="7"/>
      <c r="Y5" s="7"/>
      <c r="Z5" s="7" t="str">
        <f>IFERROR(ABS(tblScreen[[#This Row],[Ankle DF L]]-tblScreen[[#This Row],[Ankle DF R]])/MAX(tblScreen[[#This Row],[Ankle DF L]],tblScreen[[#This Row],[Ankle DF R]])*100,"")</f>
        <v/>
      </c>
      <c r="AA5" s="7"/>
      <c r="AB5" s="7"/>
      <c r="AC5" s="7" t="str">
        <f>IFERROR(ABS(tblScreen[[#This Row],[Hop L]]-tblScreen[[#This Row],[Hop R]])/MAX(tblScreen[[#This Row],[Hop L]],tblScreen[[#This Row],[Hop R]])*100,"")</f>
        <v/>
      </c>
    </row>
    <row r="6" spans="1:29">
      <c r="A6" s="5" t="s">
        <v>107</v>
      </c>
      <c r="B6">
        <v>5.9</v>
      </c>
      <c r="C6">
        <v>1.5</v>
      </c>
      <c r="D6">
        <v>1.45</v>
      </c>
      <c r="E6">
        <f>ABS(tblScreen[[#This Row],[RSI L]]-tblScreen[[#This Row],[RSI R]])/MAX(tblScreen[[#This Row],[RSI L]],tblScreen[[#This Row],[RSI R]])*100</f>
        <v>3.3333333333333361</v>
      </c>
      <c r="F6">
        <v>57</v>
      </c>
      <c r="G6">
        <v>38</v>
      </c>
      <c r="H6">
        <f>ABS(tblScreen[[#This Row],[Balance L]]-tblScreen[[#This Row],[Balance R]])/MAX(tblScreen[[#This Row],[Balance L]],tblScreen[[#This Row],[Balance R]])*100</f>
        <v>33.333333333333329</v>
      </c>
      <c r="I6">
        <v>48.3</v>
      </c>
      <c r="J6">
        <v>52</v>
      </c>
      <c r="K6">
        <f>ABS(tblScreen[[#This Row],[Groin L]]-tblScreen[[#This Row],[Groin R]])/MAX(tblScreen[[#This Row],[Groin L]],tblScreen[[#This Row],[Groin R]])*100</f>
        <v>7.1153846153846203</v>
      </c>
      <c r="L6">
        <v>21.9</v>
      </c>
      <c r="M6">
        <v>26.01</v>
      </c>
      <c r="N6">
        <f>ABS(tblScreen[[#This Row],[Hamstring L]]-tblScreen[[#This Row],[Hamstring R]])/MAX(tblScreen[[#This Row],[Hamstring L]],tblScreen[[#This Row],[Hamstring R]])*100</f>
        <v>15.801614763552491</v>
      </c>
      <c r="O6">
        <v>42.1</v>
      </c>
      <c r="P6">
        <v>35.9</v>
      </c>
      <c r="Q6">
        <f>ABS(tblScreen[[#This Row],[Grip L]]-tblScreen[[#This Row],[Grip R]])/MAX(tblScreen[[#This Row],[Grip L]],tblScreen[[#This Row],[Grip R]])*100</f>
        <v>14.726840855106897</v>
      </c>
      <c r="R6" s="7"/>
      <c r="S6" s="7"/>
      <c r="T6" s="7" t="str">
        <f>IFERROR(ABS(tblScreen[[#This Row],[Quad L]]-tblScreen[[#This Row],[Quad R]])/MAX(tblScreen[[#This Row],[Quad L]],tblScreen[[#This Row],[Quad R]])*100,"")</f>
        <v/>
      </c>
      <c r="U6" s="7"/>
      <c r="V6" s="7"/>
      <c r="W6" s="7" t="str">
        <f>IFERROR(ABS(tblScreen[[#This Row],[Hip Abd L]]-tblScreen[[#This Row],[Hip Abd R]])/MAX(tblScreen[[#This Row],[Hip Abd L]],tblScreen[[#This Row],[Hip Abd R]])*100,"")</f>
        <v/>
      </c>
      <c r="X6" s="7"/>
      <c r="Y6" s="7"/>
      <c r="Z6" s="7" t="str">
        <f>IFERROR(ABS(tblScreen[[#This Row],[Ankle DF L]]-tblScreen[[#This Row],[Ankle DF R]])/MAX(tblScreen[[#This Row],[Ankle DF L]],tblScreen[[#This Row],[Ankle DF R]])*100,"")</f>
        <v/>
      </c>
      <c r="AA6" s="7"/>
      <c r="AB6" s="7"/>
      <c r="AC6" s="7" t="str">
        <f>IFERROR(ABS(tblScreen[[#This Row],[Hop L]]-tblScreen[[#This Row],[Hop R]])/MAX(tblScreen[[#This Row],[Hop L]],tblScreen[[#This Row],[Hop R]])*100,"")</f>
        <v/>
      </c>
    </row>
    <row r="7" spans="1:29">
      <c r="A7" s="5" t="s">
        <v>121</v>
      </c>
      <c r="B7">
        <v>5</v>
      </c>
      <c r="C7">
        <v>1.65</v>
      </c>
      <c r="D7">
        <v>1.32</v>
      </c>
      <c r="E7">
        <f>ABS(tblScreen[[#This Row],[RSI L]]-tblScreen[[#This Row],[RSI R]])/MAX(tblScreen[[#This Row],[RSI L]],tblScreen[[#This Row],[RSI R]])*100</f>
        <v>19.999999999999993</v>
      </c>
      <c r="F7">
        <v>65</v>
      </c>
      <c r="G7">
        <v>29</v>
      </c>
      <c r="H7">
        <f>ABS(tblScreen[[#This Row],[Balance L]]-tblScreen[[#This Row],[Balance R]])/MAX(tblScreen[[#This Row],[Balance L]],tblScreen[[#This Row],[Balance R]])*100</f>
        <v>55.384615384615387</v>
      </c>
      <c r="I7">
        <v>47.9</v>
      </c>
      <c r="J7">
        <v>51.5</v>
      </c>
      <c r="K7">
        <f>ABS(tblScreen[[#This Row],[Groin L]]-tblScreen[[#This Row],[Groin R]])/MAX(tblScreen[[#This Row],[Groin L]],tblScreen[[#This Row],[Groin R]])*100</f>
        <v>6.9902912621359254</v>
      </c>
      <c r="L7">
        <v>22.8</v>
      </c>
      <c r="M7">
        <v>26.3</v>
      </c>
      <c r="N7">
        <f>ABS(tblScreen[[#This Row],[Hamstring L]]-tblScreen[[#This Row],[Hamstring R]])/MAX(tblScreen[[#This Row],[Hamstring L]],tblScreen[[#This Row],[Hamstring R]])*100</f>
        <v>13.307984790874524</v>
      </c>
      <c r="O7">
        <v>41.9</v>
      </c>
      <c r="P7">
        <v>36.5</v>
      </c>
      <c r="Q7">
        <f>ABS(tblScreen[[#This Row],[Grip L]]-tblScreen[[#This Row],[Grip R]])/MAX(tblScreen[[#This Row],[Grip L]],tblScreen[[#This Row],[Grip R]])*100</f>
        <v>12.887828162291168</v>
      </c>
      <c r="R7" s="7"/>
      <c r="S7" s="7"/>
      <c r="T7" s="7" t="str">
        <f>IFERROR(ABS(tblScreen[[#This Row],[Quad L]]-tblScreen[[#This Row],[Quad R]])/MAX(tblScreen[[#This Row],[Quad L]],tblScreen[[#This Row],[Quad R]])*100,"")</f>
        <v/>
      </c>
      <c r="U7" s="7"/>
      <c r="V7" s="7"/>
      <c r="W7" s="7" t="str">
        <f>IFERROR(ABS(tblScreen[[#This Row],[Hip Abd L]]-tblScreen[[#This Row],[Hip Abd R]])/MAX(tblScreen[[#This Row],[Hip Abd L]],tblScreen[[#This Row],[Hip Abd R]])*100,"")</f>
        <v/>
      </c>
      <c r="X7" s="7"/>
      <c r="Y7" s="7"/>
      <c r="Z7" s="7" t="str">
        <f>IFERROR(ABS(tblScreen[[#This Row],[Ankle DF L]]-tblScreen[[#This Row],[Ankle DF R]])/MAX(tblScreen[[#This Row],[Ankle DF L]],tblScreen[[#This Row],[Ankle DF R]])*100,"")</f>
        <v/>
      </c>
      <c r="AA7" s="7"/>
      <c r="AB7" s="7"/>
      <c r="AC7" s="7" t="str">
        <f>IFERROR(ABS(tblScreen[[#This Row],[Hop L]]-tblScreen[[#This Row],[Hop R]])/MAX(tblScreen[[#This Row],[Hop L]],tblScreen[[#This Row],[Hop R]])*100,"")</f>
        <v/>
      </c>
    </row>
    <row r="8" spans="1:29">
      <c r="A8" s="5" t="s">
        <v>70</v>
      </c>
      <c r="B8">
        <v>6</v>
      </c>
      <c r="C8">
        <v>1.7</v>
      </c>
      <c r="D8">
        <v>1.31</v>
      </c>
      <c r="E8">
        <f>ABS(tblScreen[[#This Row],[RSI L]]-tblScreen[[#This Row],[RSI R]])/MAX(tblScreen[[#This Row],[RSI L]],tblScreen[[#This Row],[RSI R]])*100</f>
        <v>22.941176470588232</v>
      </c>
      <c r="F8">
        <v>59</v>
      </c>
      <c r="G8">
        <v>31</v>
      </c>
      <c r="H8">
        <f>ABS(tblScreen[[#This Row],[Balance L]]-tblScreen[[#This Row],[Balance R]])/MAX(tblScreen[[#This Row],[Balance L]],tblScreen[[#This Row],[Balance R]])*100</f>
        <v>47.457627118644069</v>
      </c>
      <c r="I8">
        <v>48.6</v>
      </c>
      <c r="J8">
        <v>51.8</v>
      </c>
      <c r="K8">
        <f>ABS(tblScreen[[#This Row],[Groin L]]-tblScreen[[#This Row],[Groin R]])/MAX(tblScreen[[#This Row],[Groin L]],tblScreen[[#This Row],[Groin R]])*100</f>
        <v>6.1776061776061697</v>
      </c>
      <c r="L8">
        <v>21.9</v>
      </c>
      <c r="M8">
        <v>27.5</v>
      </c>
      <c r="N8">
        <f>ABS(tblScreen[[#This Row],[Hamstring L]]-tblScreen[[#This Row],[Hamstring R]])/MAX(tblScreen[[#This Row],[Hamstring L]],tblScreen[[#This Row],[Hamstring R]])*100</f>
        <v>20.36363636363637</v>
      </c>
      <c r="O8">
        <v>42.5</v>
      </c>
      <c r="P8">
        <v>36.9</v>
      </c>
      <c r="Q8">
        <f>ABS(tblScreen[[#This Row],[Grip L]]-tblScreen[[#This Row],[Grip R]])/MAX(tblScreen[[#This Row],[Grip L]],tblScreen[[#This Row],[Grip R]])*100</f>
        <v>13.176470588235297</v>
      </c>
      <c r="R8" s="7"/>
      <c r="S8" s="7"/>
      <c r="T8" s="7" t="str">
        <f>IFERROR(ABS(tblScreen[[#This Row],[Quad L]]-tblScreen[[#This Row],[Quad R]])/MAX(tblScreen[[#This Row],[Quad L]],tblScreen[[#This Row],[Quad R]])*100,"")</f>
        <v/>
      </c>
      <c r="U8" s="7"/>
      <c r="V8" s="7"/>
      <c r="W8" s="7" t="str">
        <f>IFERROR(ABS(tblScreen[[#This Row],[Hip Abd L]]-tblScreen[[#This Row],[Hip Abd R]])/MAX(tblScreen[[#This Row],[Hip Abd L]],tblScreen[[#This Row],[Hip Abd R]])*100,"")</f>
        <v/>
      </c>
      <c r="X8" s="7"/>
      <c r="Y8" s="7"/>
      <c r="Z8" s="7" t="str">
        <f>IFERROR(ABS(tblScreen[[#This Row],[Ankle DF L]]-tblScreen[[#This Row],[Ankle DF R]])/MAX(tblScreen[[#This Row],[Ankle DF L]],tblScreen[[#This Row],[Ankle DF R]])*100,"")</f>
        <v/>
      </c>
      <c r="AA8" s="7"/>
      <c r="AB8" s="7"/>
      <c r="AC8" s="7" t="str">
        <f>IFERROR(ABS(tblScreen[[#This Row],[Hop L]]-tblScreen[[#This Row],[Hop R]])/MAX(tblScreen[[#This Row],[Hop L]],tblScreen[[#This Row],[Hop R]])*100,"")</f>
        <v/>
      </c>
    </row>
    <row r="9" spans="1:29">
      <c r="A9" s="5" t="s">
        <v>71</v>
      </c>
      <c r="B9">
        <v>4.9000000000000004</v>
      </c>
      <c r="C9">
        <v>1.65</v>
      </c>
      <c r="D9">
        <v>1.28</v>
      </c>
      <c r="E9">
        <f>ABS(tblScreen[[#This Row],[RSI L]]-tblScreen[[#This Row],[RSI R]])/MAX(tblScreen[[#This Row],[RSI L]],tblScreen[[#This Row],[RSI R]])*100</f>
        <v>22.424242424242419</v>
      </c>
      <c r="F9">
        <v>67</v>
      </c>
      <c r="G9">
        <v>30</v>
      </c>
      <c r="H9">
        <f>ABS(tblScreen[[#This Row],[Balance L]]-tblScreen[[#This Row],[Balance R]])/MAX(tblScreen[[#This Row],[Balance L]],tblScreen[[#This Row],[Balance R]])*100</f>
        <v>55.223880597014926</v>
      </c>
      <c r="I9">
        <v>48.9</v>
      </c>
      <c r="J9">
        <v>51.6</v>
      </c>
      <c r="K9">
        <f>ABS(tblScreen[[#This Row],[Groin L]]-tblScreen[[#This Row],[Groin R]])/MAX(tblScreen[[#This Row],[Groin L]],tblScreen[[#This Row],[Groin R]])*100</f>
        <v>5.2325581395348886</v>
      </c>
      <c r="L9">
        <v>20.9</v>
      </c>
      <c r="M9">
        <v>25.9</v>
      </c>
      <c r="N9">
        <f>ABS(tblScreen[[#This Row],[Hamstring L]]-tblScreen[[#This Row],[Hamstring R]])/MAX(tblScreen[[#This Row],[Hamstring L]],tblScreen[[#This Row],[Hamstring R]])*100</f>
        <v>19.305019305019304</v>
      </c>
      <c r="O9">
        <v>43</v>
      </c>
      <c r="P9">
        <v>36.9</v>
      </c>
      <c r="Q9">
        <f>ABS(tblScreen[[#This Row],[Grip L]]-tblScreen[[#This Row],[Grip R]])/MAX(tblScreen[[#This Row],[Grip L]],tblScreen[[#This Row],[Grip R]])*100</f>
        <v>14.186046511627911</v>
      </c>
      <c r="R9" s="7"/>
      <c r="S9" s="7"/>
      <c r="T9" s="7" t="str">
        <f>IFERROR(ABS(tblScreen[[#This Row],[Quad L]]-tblScreen[[#This Row],[Quad R]])/MAX(tblScreen[[#This Row],[Quad L]],tblScreen[[#This Row],[Quad R]])*100,"")</f>
        <v/>
      </c>
      <c r="U9" s="7"/>
      <c r="V9" s="7"/>
      <c r="W9" s="7" t="str">
        <f>IFERROR(ABS(tblScreen[[#This Row],[Hip Abd L]]-tblScreen[[#This Row],[Hip Abd R]])/MAX(tblScreen[[#This Row],[Hip Abd L]],tblScreen[[#This Row],[Hip Abd R]])*100,"")</f>
        <v/>
      </c>
      <c r="X9" s="7"/>
      <c r="Y9" s="7"/>
      <c r="Z9" s="7" t="str">
        <f>IFERROR(ABS(tblScreen[[#This Row],[Ankle DF L]]-tblScreen[[#This Row],[Ankle DF R]])/MAX(tblScreen[[#This Row],[Ankle DF L]],tblScreen[[#This Row],[Ankle DF R]])*100,"")</f>
        <v/>
      </c>
      <c r="AA9" s="7"/>
      <c r="AB9" s="7"/>
      <c r="AC9" s="7" t="str">
        <f>IFERROR(ABS(tblScreen[[#This Row],[Hop L]]-tblScreen[[#This Row],[Hop R]])/MAX(tblScreen[[#This Row],[Hop L]],tblScreen[[#This Row],[Hop R]])*100,"")</f>
        <v/>
      </c>
    </row>
    <row r="10" spans="1:29">
      <c r="A10" s="5" t="s">
        <v>115</v>
      </c>
      <c r="B10">
        <v>4.2</v>
      </c>
      <c r="C10">
        <v>1.47</v>
      </c>
      <c r="D10">
        <v>1.29</v>
      </c>
      <c r="E10">
        <f>ABS(tblScreen[[#This Row],[RSI L]]-tblScreen[[#This Row],[RSI R]])/MAX(tblScreen[[#This Row],[RSI L]],tblScreen[[#This Row],[RSI R]])*100</f>
        <v>12.244897959183669</v>
      </c>
      <c r="F10">
        <v>63</v>
      </c>
      <c r="G10">
        <v>36</v>
      </c>
      <c r="H10">
        <f>ABS(tblScreen[[#This Row],[Balance L]]-tblScreen[[#This Row],[Balance R]])/MAX(tblScreen[[#This Row],[Balance L]],tblScreen[[#This Row],[Balance R]])*100</f>
        <v>42.857142857142854</v>
      </c>
      <c r="I10">
        <v>49</v>
      </c>
      <c r="J10">
        <v>52</v>
      </c>
      <c r="K10">
        <f>ABS(tblScreen[[#This Row],[Groin L]]-tblScreen[[#This Row],[Groin R]])/MAX(tblScreen[[#This Row],[Groin L]],tblScreen[[#This Row],[Groin R]])*100</f>
        <v>5.7692307692307692</v>
      </c>
      <c r="L10">
        <v>22.22</v>
      </c>
      <c r="M10">
        <v>25.98</v>
      </c>
      <c r="N10">
        <f>ABS(tblScreen[[#This Row],[Hamstring L]]-tblScreen[[#This Row],[Hamstring R]])/MAX(tblScreen[[#This Row],[Hamstring L]],tblScreen[[#This Row],[Hamstring R]])*100</f>
        <v>14.472671285604315</v>
      </c>
      <c r="O10">
        <v>44.5</v>
      </c>
      <c r="P10">
        <v>37.5</v>
      </c>
      <c r="Q10">
        <f>ABS(tblScreen[[#This Row],[Grip L]]-tblScreen[[#This Row],[Grip R]])/MAX(tblScreen[[#This Row],[Grip L]],tblScreen[[#This Row],[Grip R]])*100</f>
        <v>15.730337078651685</v>
      </c>
      <c r="R10" s="7"/>
      <c r="S10" s="7"/>
      <c r="T10" s="7" t="str">
        <f>IFERROR(ABS(tblScreen[[#This Row],[Quad L]]-tblScreen[[#This Row],[Quad R]])/MAX(tblScreen[[#This Row],[Quad L]],tblScreen[[#This Row],[Quad R]])*100,"")</f>
        <v/>
      </c>
      <c r="U10" s="7"/>
      <c r="V10" s="7"/>
      <c r="W10" s="7" t="str">
        <f>IFERROR(ABS(tblScreen[[#This Row],[Hip Abd L]]-tblScreen[[#This Row],[Hip Abd R]])/MAX(tblScreen[[#This Row],[Hip Abd L]],tblScreen[[#This Row],[Hip Abd R]])*100,"")</f>
        <v/>
      </c>
      <c r="X10" s="7"/>
      <c r="Y10" s="7"/>
      <c r="Z10" s="7" t="str">
        <f>IFERROR(ABS(tblScreen[[#This Row],[Ankle DF L]]-tblScreen[[#This Row],[Ankle DF R]])/MAX(tblScreen[[#This Row],[Ankle DF L]],tblScreen[[#This Row],[Ankle DF R]])*100,"")</f>
        <v/>
      </c>
      <c r="AA10" s="7"/>
      <c r="AB10" s="7"/>
      <c r="AC10" s="7" t="str">
        <f>IFERROR(ABS(tblScreen[[#This Row],[Hop L]]-tblScreen[[#This Row],[Hop R]])/MAX(tblScreen[[#This Row],[Hop L]],tblScreen[[#This Row],[Hop R]])*100,"")</f>
        <v/>
      </c>
    </row>
    <row r="11" spans="1:29">
      <c r="A11" s="5" t="s">
        <v>114</v>
      </c>
      <c r="B11">
        <v>5</v>
      </c>
      <c r="C11">
        <v>1.6</v>
      </c>
      <c r="D11">
        <v>1.65</v>
      </c>
      <c r="E11">
        <f>ABS(tblScreen[[#This Row],[RSI L]]-tblScreen[[#This Row],[RSI R]])/MAX(tblScreen[[#This Row],[RSI L]],tblScreen[[#This Row],[RSI R]])*100</f>
        <v>3.0303030303030196</v>
      </c>
      <c r="F11">
        <v>64</v>
      </c>
      <c r="G11">
        <v>35</v>
      </c>
      <c r="H11">
        <f>ABS(tblScreen[[#This Row],[Balance L]]-tblScreen[[#This Row],[Balance R]])/MAX(tblScreen[[#This Row],[Balance L]],tblScreen[[#This Row],[Balance R]])*100</f>
        <v>45.3125</v>
      </c>
      <c r="I11">
        <v>47.9</v>
      </c>
      <c r="J11">
        <v>51.9</v>
      </c>
      <c r="K11">
        <f>ABS(tblScreen[[#This Row],[Groin L]]-tblScreen[[#This Row],[Groin R]])/MAX(tblScreen[[#This Row],[Groin L]],tblScreen[[#This Row],[Groin R]])*100</f>
        <v>7.7071290944123323</v>
      </c>
      <c r="L11">
        <v>22.11</v>
      </c>
      <c r="M11">
        <v>26.32</v>
      </c>
      <c r="N11">
        <f>ABS(tblScreen[[#This Row],[Hamstring L]]-tblScreen[[#This Row],[Hamstring R]])/MAX(tblScreen[[#This Row],[Hamstring L]],tblScreen[[#This Row],[Hamstring R]])*100</f>
        <v>15.995440729483285</v>
      </c>
      <c r="O11">
        <v>41</v>
      </c>
      <c r="P11">
        <v>35</v>
      </c>
      <c r="Q11">
        <f>ABS(tblScreen[[#This Row],[Grip L]]-tblScreen[[#This Row],[Grip R]])/MAX(tblScreen[[#This Row],[Grip L]],tblScreen[[#This Row],[Grip R]])*100</f>
        <v>14.634146341463413</v>
      </c>
      <c r="R11" s="7"/>
      <c r="S11" s="7"/>
      <c r="T11" s="7" t="str">
        <f>IFERROR(ABS(tblScreen[[#This Row],[Quad L]]-tblScreen[[#This Row],[Quad R]])/MAX(tblScreen[[#This Row],[Quad L]],tblScreen[[#This Row],[Quad R]])*100,"")</f>
        <v/>
      </c>
      <c r="U11" s="7"/>
      <c r="V11" s="7"/>
      <c r="W11" s="7" t="str">
        <f>IFERROR(ABS(tblScreen[[#This Row],[Hip Abd L]]-tblScreen[[#This Row],[Hip Abd R]])/MAX(tblScreen[[#This Row],[Hip Abd L]],tblScreen[[#This Row],[Hip Abd R]])*100,"")</f>
        <v/>
      </c>
      <c r="X11" s="7"/>
      <c r="Y11" s="7"/>
      <c r="Z11" s="7" t="str">
        <f>IFERROR(ABS(tblScreen[[#This Row],[Ankle DF L]]-tblScreen[[#This Row],[Ankle DF R]])/MAX(tblScreen[[#This Row],[Ankle DF L]],tblScreen[[#This Row],[Ankle DF R]])*100,"")</f>
        <v/>
      </c>
      <c r="AA11" s="7"/>
      <c r="AB11" s="7"/>
      <c r="AC11" s="7" t="str">
        <f>IFERROR(ABS(tblScreen[[#This Row],[Hop L]]-tblScreen[[#This Row],[Hop R]])/MAX(tblScreen[[#This Row],[Hop L]],tblScreen[[#This Row],[Hop R]])*100,"")</f>
        <v/>
      </c>
    </row>
    <row r="12" spans="1:29">
      <c r="A12" s="5" t="s">
        <v>72</v>
      </c>
      <c r="B12">
        <v>5.9</v>
      </c>
      <c r="C12">
        <v>2</v>
      </c>
      <c r="D12">
        <v>1.47</v>
      </c>
      <c r="E12">
        <f>ABS(tblScreen[[#This Row],[RSI L]]-tblScreen[[#This Row],[RSI R]])/MAX(tblScreen[[#This Row],[RSI L]],tblScreen[[#This Row],[RSI R]])*100</f>
        <v>26.5</v>
      </c>
      <c r="F12">
        <v>59</v>
      </c>
      <c r="G12">
        <v>38</v>
      </c>
      <c r="H12">
        <f>ABS(tblScreen[[#This Row],[Balance L]]-tblScreen[[#This Row],[Balance R]])/MAX(tblScreen[[#This Row],[Balance L]],tblScreen[[#This Row],[Balance R]])*100</f>
        <v>35.593220338983052</v>
      </c>
      <c r="I12">
        <v>48.1</v>
      </c>
      <c r="J12">
        <v>51.7</v>
      </c>
      <c r="K12">
        <f>ABS(tblScreen[[#This Row],[Groin L]]-tblScreen[[#This Row],[Groin R]])/MAX(tblScreen[[#This Row],[Groin L]],tblScreen[[#This Row],[Groin R]])*100</f>
        <v>6.9632495164410084</v>
      </c>
      <c r="L12">
        <v>23.01</v>
      </c>
      <c r="M12">
        <v>26.87</v>
      </c>
      <c r="N12">
        <f>ABS(tblScreen[[#This Row],[Hamstring L]]-tblScreen[[#This Row],[Hamstring R]])/MAX(tblScreen[[#This Row],[Hamstring L]],tblScreen[[#This Row],[Hamstring R]])*100</f>
        <v>14.365463342017119</v>
      </c>
      <c r="O12">
        <v>40.5</v>
      </c>
      <c r="P12">
        <v>36</v>
      </c>
      <c r="Q12">
        <f>ABS(tblScreen[[#This Row],[Grip L]]-tblScreen[[#This Row],[Grip R]])/MAX(tblScreen[[#This Row],[Grip L]],tblScreen[[#This Row],[Grip R]])*100</f>
        <v>11.111111111111111</v>
      </c>
      <c r="R12" s="7"/>
      <c r="S12" s="7"/>
      <c r="T12" s="7" t="str">
        <f>IFERROR(ABS(tblScreen[[#This Row],[Quad L]]-tblScreen[[#This Row],[Quad R]])/MAX(tblScreen[[#This Row],[Quad L]],tblScreen[[#This Row],[Quad R]])*100,"")</f>
        <v/>
      </c>
      <c r="U12" s="7"/>
      <c r="V12" s="7"/>
      <c r="W12" s="7" t="str">
        <f>IFERROR(ABS(tblScreen[[#This Row],[Hip Abd L]]-tblScreen[[#This Row],[Hip Abd R]])/MAX(tblScreen[[#This Row],[Hip Abd L]],tblScreen[[#This Row],[Hip Abd R]])*100,"")</f>
        <v/>
      </c>
      <c r="X12" s="7"/>
      <c r="Y12" s="7"/>
      <c r="Z12" s="7" t="str">
        <f>IFERROR(ABS(tblScreen[[#This Row],[Ankle DF L]]-tblScreen[[#This Row],[Ankle DF R]])/MAX(tblScreen[[#This Row],[Ankle DF L]],tblScreen[[#This Row],[Ankle DF R]])*100,"")</f>
        <v/>
      </c>
      <c r="AA12" s="7"/>
      <c r="AB12" s="7"/>
      <c r="AC12" s="7" t="str">
        <f>IFERROR(ABS(tblScreen[[#This Row],[Hop L]]-tblScreen[[#This Row],[Hop R]])/MAX(tblScreen[[#This Row],[Hop L]],tblScreen[[#This Row],[Hop R]])*100,"")</f>
        <v/>
      </c>
    </row>
    <row r="13" spans="1:29">
      <c r="A13" s="5" t="s">
        <v>117</v>
      </c>
      <c r="B13">
        <v>5.8</v>
      </c>
      <c r="C13">
        <v>2.0099999999999998</v>
      </c>
      <c r="D13">
        <v>1.36</v>
      </c>
      <c r="E13">
        <f>ABS(tblScreen[[#This Row],[RSI L]]-tblScreen[[#This Row],[RSI R]])/MAX(tblScreen[[#This Row],[RSI L]],tblScreen[[#This Row],[RSI R]])*100</f>
        <v>32.338308457711427</v>
      </c>
      <c r="F13">
        <v>57</v>
      </c>
      <c r="G13">
        <v>36</v>
      </c>
      <c r="H13">
        <f>ABS(tblScreen[[#This Row],[Balance L]]-tblScreen[[#This Row],[Balance R]])/MAX(tblScreen[[#This Row],[Balance L]],tblScreen[[#This Row],[Balance R]])*100</f>
        <v>36.84210526315789</v>
      </c>
      <c r="I13">
        <v>48.6</v>
      </c>
      <c r="J13">
        <v>50</v>
      </c>
      <c r="K13">
        <f>ABS(tblScreen[[#This Row],[Groin L]]-tblScreen[[#This Row],[Groin R]])/MAX(tblScreen[[#This Row],[Groin L]],tblScreen[[#This Row],[Groin R]])*100</f>
        <v>2.7999999999999972</v>
      </c>
      <c r="L13">
        <v>24</v>
      </c>
      <c r="M13">
        <v>26.98</v>
      </c>
      <c r="N13">
        <f>ABS(tblScreen[[#This Row],[Hamstring L]]-tblScreen[[#This Row],[Hamstring R]])/MAX(tblScreen[[#This Row],[Hamstring L]],tblScreen[[#This Row],[Hamstring R]])*100</f>
        <v>11.04521868050408</v>
      </c>
      <c r="O13">
        <v>41</v>
      </c>
      <c r="P13">
        <v>35</v>
      </c>
      <c r="Q13">
        <f>ABS(tblScreen[[#This Row],[Grip L]]-tblScreen[[#This Row],[Grip R]])/MAX(tblScreen[[#This Row],[Grip L]],tblScreen[[#This Row],[Grip R]])*100</f>
        <v>14.634146341463413</v>
      </c>
      <c r="R13" s="7"/>
      <c r="S13" s="7"/>
      <c r="T13" s="7" t="str">
        <f>IFERROR(ABS(tblScreen[[#This Row],[Quad L]]-tblScreen[[#This Row],[Quad R]])/MAX(tblScreen[[#This Row],[Quad L]],tblScreen[[#This Row],[Quad R]])*100,"")</f>
        <v/>
      </c>
      <c r="U13" s="7"/>
      <c r="V13" s="7"/>
      <c r="W13" s="7" t="str">
        <f>IFERROR(ABS(tblScreen[[#This Row],[Hip Abd L]]-tblScreen[[#This Row],[Hip Abd R]])/MAX(tblScreen[[#This Row],[Hip Abd L]],tblScreen[[#This Row],[Hip Abd R]])*100,"")</f>
        <v/>
      </c>
      <c r="X13" s="7"/>
      <c r="Y13" s="7"/>
      <c r="Z13" s="7" t="str">
        <f>IFERROR(ABS(tblScreen[[#This Row],[Ankle DF L]]-tblScreen[[#This Row],[Ankle DF R]])/MAX(tblScreen[[#This Row],[Ankle DF L]],tblScreen[[#This Row],[Ankle DF R]])*100,"")</f>
        <v/>
      </c>
      <c r="AA13" s="7"/>
      <c r="AB13" s="7"/>
      <c r="AC13" s="7" t="str">
        <f>IFERROR(ABS(tblScreen[[#This Row],[Hop L]]-tblScreen[[#This Row],[Hop R]])/MAX(tblScreen[[#This Row],[Hop L]],tblScreen[[#This Row],[Hop R]])*100,"")</f>
        <v/>
      </c>
    </row>
    <row r="14" spans="1:29">
      <c r="A14" s="5" t="s">
        <v>120</v>
      </c>
      <c r="B14">
        <v>5.0999999999999996</v>
      </c>
      <c r="C14">
        <v>1.98</v>
      </c>
      <c r="D14">
        <v>1.24</v>
      </c>
      <c r="E14">
        <f>ABS(tblScreen[[#This Row],[RSI L]]-tblScreen[[#This Row],[RSI R]])/MAX(tblScreen[[#This Row],[RSI L]],tblScreen[[#This Row],[RSI R]])*100</f>
        <v>37.373737373737377</v>
      </c>
      <c r="F14">
        <v>65</v>
      </c>
      <c r="G14">
        <v>34</v>
      </c>
      <c r="H14">
        <f>ABS(tblScreen[[#This Row],[Balance L]]-tblScreen[[#This Row],[Balance R]])/MAX(tblScreen[[#This Row],[Balance L]],tblScreen[[#This Row],[Balance R]])*100</f>
        <v>47.692307692307693</v>
      </c>
      <c r="I14">
        <v>47.5</v>
      </c>
      <c r="J14">
        <v>50.5</v>
      </c>
      <c r="K14">
        <f>ABS(tblScreen[[#This Row],[Groin L]]-tblScreen[[#This Row],[Groin R]])/MAX(tblScreen[[#This Row],[Groin L]],tblScreen[[#This Row],[Groin R]])*100</f>
        <v>5.9405940594059405</v>
      </c>
      <c r="L14">
        <v>23.6</v>
      </c>
      <c r="M14">
        <v>25.69</v>
      </c>
      <c r="N14">
        <f>ABS(tblScreen[[#This Row],[Hamstring L]]-tblScreen[[#This Row],[Hamstring R]])/MAX(tblScreen[[#This Row],[Hamstring L]],tblScreen[[#This Row],[Hamstring R]])*100</f>
        <v>8.135461268976254</v>
      </c>
      <c r="O14">
        <v>42.5</v>
      </c>
      <c r="P14">
        <v>36.9</v>
      </c>
      <c r="Q14">
        <f>ABS(tblScreen[[#This Row],[Grip L]]-tblScreen[[#This Row],[Grip R]])/MAX(tblScreen[[#This Row],[Grip L]],tblScreen[[#This Row],[Grip R]])*100</f>
        <v>13.176470588235297</v>
      </c>
      <c r="R14" s="7"/>
      <c r="S14" s="7"/>
      <c r="T14" s="7" t="str">
        <f>IFERROR(ABS(tblScreen[[#This Row],[Quad L]]-tblScreen[[#This Row],[Quad R]])/MAX(tblScreen[[#This Row],[Quad L]],tblScreen[[#This Row],[Quad R]])*100,"")</f>
        <v/>
      </c>
      <c r="U14" s="7"/>
      <c r="V14" s="7"/>
      <c r="W14" s="7" t="str">
        <f>IFERROR(ABS(tblScreen[[#This Row],[Hip Abd L]]-tblScreen[[#This Row],[Hip Abd R]])/MAX(tblScreen[[#This Row],[Hip Abd L]],tblScreen[[#This Row],[Hip Abd R]])*100,"")</f>
        <v/>
      </c>
      <c r="X14" s="7"/>
      <c r="Y14" s="7"/>
      <c r="Z14" s="7" t="str">
        <f>IFERROR(ABS(tblScreen[[#This Row],[Ankle DF L]]-tblScreen[[#This Row],[Ankle DF R]])/MAX(tblScreen[[#This Row],[Ankle DF L]],tblScreen[[#This Row],[Ankle DF R]])*100,"")</f>
        <v/>
      </c>
      <c r="AA14" s="7"/>
      <c r="AB14" s="7"/>
      <c r="AC14" s="7" t="str">
        <f>IFERROR(ABS(tblScreen[[#This Row],[Hop L]]-tblScreen[[#This Row],[Hop R]])/MAX(tblScreen[[#This Row],[Hop L]],tblScreen[[#This Row],[Hop R]])*100,"")</f>
        <v/>
      </c>
    </row>
    <row r="15" spans="1:29">
      <c r="A15" s="5" t="s">
        <v>109</v>
      </c>
      <c r="B15">
        <v>5.7</v>
      </c>
      <c r="C15">
        <v>1.87</v>
      </c>
      <c r="D15">
        <v>1.29</v>
      </c>
      <c r="E15">
        <f>ABS(tblScreen[[#This Row],[RSI L]]-tblScreen[[#This Row],[RSI R]])/MAX(tblScreen[[#This Row],[RSI L]],tblScreen[[#This Row],[RSI R]])*100</f>
        <v>31.016042780748666</v>
      </c>
      <c r="F15">
        <v>59</v>
      </c>
      <c r="G15">
        <v>39</v>
      </c>
      <c r="H15">
        <f>ABS(tblScreen[[#This Row],[Balance L]]-tblScreen[[#This Row],[Balance R]])/MAX(tblScreen[[#This Row],[Balance L]],tblScreen[[#This Row],[Balance R]])*100</f>
        <v>33.898305084745758</v>
      </c>
      <c r="I15">
        <v>47.9</v>
      </c>
      <c r="J15">
        <v>52.5</v>
      </c>
      <c r="K15">
        <f>ABS(tblScreen[[#This Row],[Groin L]]-tblScreen[[#This Row],[Groin R]])/MAX(tblScreen[[#This Row],[Groin L]],tblScreen[[#This Row],[Groin R]])*100</f>
        <v>8.7619047619047645</v>
      </c>
      <c r="L15">
        <v>24.5</v>
      </c>
      <c r="M15">
        <v>25.5</v>
      </c>
      <c r="N15">
        <f>ABS(tblScreen[[#This Row],[Hamstring L]]-tblScreen[[#This Row],[Hamstring R]])/MAX(tblScreen[[#This Row],[Hamstring L]],tblScreen[[#This Row],[Hamstring R]])*100</f>
        <v>3.9215686274509802</v>
      </c>
      <c r="O15">
        <v>42.1</v>
      </c>
      <c r="P15">
        <v>35.9</v>
      </c>
      <c r="Q15">
        <f>ABS(tblScreen[[#This Row],[Grip L]]-tblScreen[[#This Row],[Grip R]])/MAX(tblScreen[[#This Row],[Grip L]],tblScreen[[#This Row],[Grip R]])*100</f>
        <v>14.726840855106897</v>
      </c>
      <c r="R15" s="7"/>
      <c r="S15" s="7"/>
      <c r="T15" s="7" t="str">
        <f>IFERROR(ABS(tblScreen[[#This Row],[Quad L]]-tblScreen[[#This Row],[Quad R]])/MAX(tblScreen[[#This Row],[Quad L]],tblScreen[[#This Row],[Quad R]])*100,"")</f>
        <v/>
      </c>
      <c r="U15" s="7"/>
      <c r="V15" s="7"/>
      <c r="W15" s="7" t="str">
        <f>IFERROR(ABS(tblScreen[[#This Row],[Hip Abd L]]-tblScreen[[#This Row],[Hip Abd R]])/MAX(tblScreen[[#This Row],[Hip Abd L]],tblScreen[[#This Row],[Hip Abd R]])*100,"")</f>
        <v/>
      </c>
      <c r="X15" s="7"/>
      <c r="Y15" s="7"/>
      <c r="Z15" s="7" t="str">
        <f>IFERROR(ABS(tblScreen[[#This Row],[Ankle DF L]]-tblScreen[[#This Row],[Ankle DF R]])/MAX(tblScreen[[#This Row],[Ankle DF L]],tblScreen[[#This Row],[Ankle DF R]])*100,"")</f>
        <v/>
      </c>
      <c r="AA15" s="7"/>
      <c r="AB15" s="7"/>
      <c r="AC15" s="7" t="str">
        <f>IFERROR(ABS(tblScreen[[#This Row],[Hop L]]-tblScreen[[#This Row],[Hop R]])/MAX(tblScreen[[#This Row],[Hop L]],tblScreen[[#This Row],[Hop R]])*100,"")</f>
        <v/>
      </c>
    </row>
    <row r="16" spans="1:29">
      <c r="A16" s="5" t="s">
        <v>112</v>
      </c>
      <c r="B16">
        <v>6</v>
      </c>
      <c r="C16">
        <v>1.85</v>
      </c>
      <c r="D16">
        <v>1.22</v>
      </c>
      <c r="E16">
        <f>ABS(tblScreen[[#This Row],[RSI L]]-tblScreen[[#This Row],[RSI R]])/MAX(tblScreen[[#This Row],[RSI L]],tblScreen[[#This Row],[RSI R]])*100</f>
        <v>34.054054054054056</v>
      </c>
      <c r="F16">
        <v>67</v>
      </c>
      <c r="G16">
        <v>35</v>
      </c>
      <c r="H16">
        <f>ABS(tblScreen[[#This Row],[Balance L]]-tblScreen[[#This Row],[Balance R]])/MAX(tblScreen[[#This Row],[Balance L]],tblScreen[[#This Row],[Balance R]])*100</f>
        <v>47.761194029850742</v>
      </c>
      <c r="I16">
        <v>49</v>
      </c>
      <c r="J16">
        <v>52.1</v>
      </c>
      <c r="K16">
        <f>ABS(tblScreen[[#This Row],[Groin L]]-tblScreen[[#This Row],[Groin R]])/MAX(tblScreen[[#This Row],[Groin L]],tblScreen[[#This Row],[Groin R]])*100</f>
        <v>5.9500959692898299</v>
      </c>
      <c r="L16">
        <v>22.9</v>
      </c>
      <c r="M16">
        <v>25.9</v>
      </c>
      <c r="N16">
        <f>ABS(tblScreen[[#This Row],[Hamstring L]]-tblScreen[[#This Row],[Hamstring R]])/MAX(tblScreen[[#This Row],[Hamstring L]],tblScreen[[#This Row],[Hamstring R]])*100</f>
        <v>11.583011583011583</v>
      </c>
      <c r="O16">
        <v>41.9</v>
      </c>
      <c r="P16">
        <v>36.5</v>
      </c>
      <c r="Q16">
        <f>ABS(tblScreen[[#This Row],[Grip L]]-tblScreen[[#This Row],[Grip R]])/MAX(tblScreen[[#This Row],[Grip L]],tblScreen[[#This Row],[Grip R]])*100</f>
        <v>12.887828162291168</v>
      </c>
      <c r="R16" s="7"/>
      <c r="S16" s="7"/>
      <c r="T16" s="7" t="str">
        <f>IFERROR(ABS(tblScreen[[#This Row],[Quad L]]-tblScreen[[#This Row],[Quad R]])/MAX(tblScreen[[#This Row],[Quad L]],tblScreen[[#This Row],[Quad R]])*100,"")</f>
        <v/>
      </c>
      <c r="U16" s="7"/>
      <c r="V16" s="7"/>
      <c r="W16" s="7" t="str">
        <f>IFERROR(ABS(tblScreen[[#This Row],[Hip Abd L]]-tblScreen[[#This Row],[Hip Abd R]])/MAX(tblScreen[[#This Row],[Hip Abd L]],tblScreen[[#This Row],[Hip Abd R]])*100,"")</f>
        <v/>
      </c>
      <c r="X16" s="7"/>
      <c r="Y16" s="7"/>
      <c r="Z16" s="7" t="str">
        <f>IFERROR(ABS(tblScreen[[#This Row],[Ankle DF L]]-tblScreen[[#This Row],[Ankle DF R]])/MAX(tblScreen[[#This Row],[Ankle DF L]],tblScreen[[#This Row],[Ankle DF R]])*100,"")</f>
        <v/>
      </c>
      <c r="AA16" s="7"/>
      <c r="AB16" s="7"/>
      <c r="AC16" s="7" t="str">
        <f>IFERROR(ABS(tblScreen[[#This Row],[Hop L]]-tblScreen[[#This Row],[Hop R]])/MAX(tblScreen[[#This Row],[Hop L]],tblScreen[[#This Row],[Hop R]])*100,"")</f>
        <v/>
      </c>
    </row>
    <row r="17" spans="1:29">
      <c r="A17" s="5" t="s">
        <v>73</v>
      </c>
      <c r="B17">
        <v>6.3</v>
      </c>
      <c r="C17">
        <v>1.65</v>
      </c>
      <c r="D17">
        <v>1.25</v>
      </c>
      <c r="E17">
        <f>ABS(tblScreen[[#This Row],[RSI L]]-tblScreen[[#This Row],[RSI R]])/MAX(tblScreen[[#This Row],[RSI L]],tblScreen[[#This Row],[RSI R]])*100</f>
        <v>24.242424242424239</v>
      </c>
      <c r="F17">
        <v>63</v>
      </c>
      <c r="G17">
        <v>31</v>
      </c>
      <c r="H17">
        <f>ABS(tblScreen[[#This Row],[Balance L]]-tblScreen[[#This Row],[Balance R]])/MAX(tblScreen[[#This Row],[Balance L]],tblScreen[[#This Row],[Balance R]])*100</f>
        <v>50.793650793650791</v>
      </c>
      <c r="I17">
        <v>48.5</v>
      </c>
      <c r="J17">
        <v>51</v>
      </c>
      <c r="K17">
        <f>ABS(tblScreen[[#This Row],[Groin L]]-tblScreen[[#This Row],[Groin R]])/MAX(tblScreen[[#This Row],[Groin L]],tblScreen[[#This Row],[Groin R]])*100</f>
        <v>4.9019607843137258</v>
      </c>
      <c r="L17">
        <v>22.88</v>
      </c>
      <c r="M17">
        <v>2.6</v>
      </c>
      <c r="N17">
        <f>ABS(tblScreen[[#This Row],[Hamstring L]]-tblScreen[[#This Row],[Hamstring R]])/MAX(tblScreen[[#This Row],[Hamstring L]],tblScreen[[#This Row],[Hamstring R]])*100</f>
        <v>88.636363636363626</v>
      </c>
      <c r="O17">
        <v>42.5</v>
      </c>
      <c r="P17">
        <v>36.9</v>
      </c>
      <c r="Q17">
        <f>ABS(tblScreen[[#This Row],[Grip L]]-tblScreen[[#This Row],[Grip R]])/MAX(tblScreen[[#This Row],[Grip L]],tblScreen[[#This Row],[Grip R]])*100</f>
        <v>13.176470588235297</v>
      </c>
      <c r="R17" s="7"/>
      <c r="S17" s="7"/>
      <c r="T17" s="7" t="str">
        <f>IFERROR(ABS(tblScreen[[#This Row],[Quad L]]-tblScreen[[#This Row],[Quad R]])/MAX(tblScreen[[#This Row],[Quad L]],tblScreen[[#This Row],[Quad R]])*100,"")</f>
        <v/>
      </c>
      <c r="U17" s="7"/>
      <c r="V17" s="7"/>
      <c r="W17" s="7" t="str">
        <f>IFERROR(ABS(tblScreen[[#This Row],[Hip Abd L]]-tblScreen[[#This Row],[Hip Abd R]])/MAX(tblScreen[[#This Row],[Hip Abd L]],tblScreen[[#This Row],[Hip Abd R]])*100,"")</f>
        <v/>
      </c>
      <c r="X17" s="7"/>
      <c r="Y17" s="7"/>
      <c r="Z17" s="7" t="str">
        <f>IFERROR(ABS(tblScreen[[#This Row],[Ankle DF L]]-tblScreen[[#This Row],[Ankle DF R]])/MAX(tblScreen[[#This Row],[Ankle DF L]],tblScreen[[#This Row],[Ankle DF R]])*100,"")</f>
        <v/>
      </c>
      <c r="AA17" s="7"/>
      <c r="AB17" s="7"/>
      <c r="AC17" s="7" t="str">
        <f>IFERROR(ABS(tblScreen[[#This Row],[Hop L]]-tblScreen[[#This Row],[Hop R]])/MAX(tblScreen[[#This Row],[Hop L]],tblScreen[[#This Row],[Hop R]])*100,"")</f>
        <v/>
      </c>
    </row>
    <row r="18" spans="1:29">
      <c r="A18" s="5" t="s">
        <v>119</v>
      </c>
      <c r="B18">
        <v>8.1999999999999993</v>
      </c>
      <c r="C18">
        <v>1.74</v>
      </c>
      <c r="D18">
        <v>1.36</v>
      </c>
      <c r="E18">
        <f>ABS(tblScreen[[#This Row],[RSI L]]-tblScreen[[#This Row],[RSI R]])/MAX(tblScreen[[#This Row],[RSI L]],tblScreen[[#This Row],[RSI R]])*100</f>
        <v>21.839080459770109</v>
      </c>
      <c r="F18">
        <v>64</v>
      </c>
      <c r="G18">
        <v>37</v>
      </c>
      <c r="H18">
        <f>ABS(tblScreen[[#This Row],[Balance L]]-tblScreen[[#This Row],[Balance R]])/MAX(tblScreen[[#This Row],[Balance L]],tblScreen[[#This Row],[Balance R]])*100</f>
        <v>42.1875</v>
      </c>
      <c r="I18">
        <v>48.3</v>
      </c>
      <c r="J18">
        <v>52</v>
      </c>
      <c r="K18">
        <f>ABS(tblScreen[[#This Row],[Groin L]]-tblScreen[[#This Row],[Groin R]])/MAX(tblScreen[[#This Row],[Groin L]],tblScreen[[#This Row],[Groin R]])*100</f>
        <v>7.1153846153846203</v>
      </c>
      <c r="L18">
        <v>22.77</v>
      </c>
      <c r="M18">
        <v>26.01</v>
      </c>
      <c r="N18">
        <f>ABS(tblScreen[[#This Row],[Hamstring L]]-tblScreen[[#This Row],[Hamstring R]])/MAX(tblScreen[[#This Row],[Hamstring L]],tblScreen[[#This Row],[Hamstring R]])*100</f>
        <v>12.456747404844297</v>
      </c>
      <c r="O18">
        <v>43</v>
      </c>
      <c r="P18">
        <v>36.9</v>
      </c>
      <c r="Q18">
        <f>ABS(tblScreen[[#This Row],[Grip L]]-tblScreen[[#This Row],[Grip R]])/MAX(tblScreen[[#This Row],[Grip L]],tblScreen[[#This Row],[Grip R]])*100</f>
        <v>14.186046511627911</v>
      </c>
      <c r="R18" s="7"/>
      <c r="S18" s="7"/>
      <c r="T18" s="7" t="str">
        <f>IFERROR(ABS(tblScreen[[#This Row],[Quad L]]-tblScreen[[#This Row],[Quad R]])/MAX(tblScreen[[#This Row],[Quad L]],tblScreen[[#This Row],[Quad R]])*100,"")</f>
        <v/>
      </c>
      <c r="U18" s="7"/>
      <c r="V18" s="7"/>
      <c r="W18" s="7" t="str">
        <f>IFERROR(ABS(tblScreen[[#This Row],[Hip Abd L]]-tblScreen[[#This Row],[Hip Abd R]])/MAX(tblScreen[[#This Row],[Hip Abd L]],tblScreen[[#This Row],[Hip Abd R]])*100,"")</f>
        <v/>
      </c>
      <c r="X18" s="7"/>
      <c r="Y18" s="7"/>
      <c r="Z18" s="7" t="str">
        <f>IFERROR(ABS(tblScreen[[#This Row],[Ankle DF L]]-tblScreen[[#This Row],[Ankle DF R]])/MAX(tblScreen[[#This Row],[Ankle DF L]],tblScreen[[#This Row],[Ankle DF R]])*100,"")</f>
        <v/>
      </c>
      <c r="AA18" s="7"/>
      <c r="AB18" s="7"/>
      <c r="AC18" s="7" t="str">
        <f>IFERROR(ABS(tblScreen[[#This Row],[Hop L]]-tblScreen[[#This Row],[Hop R]])/MAX(tblScreen[[#This Row],[Hop L]],tblScreen[[#This Row],[Hop R]])*100,"")</f>
        <v/>
      </c>
    </row>
    <row r="19" spans="1:29">
      <c r="A19" s="5" t="s">
        <v>118</v>
      </c>
      <c r="B19">
        <v>5.2</v>
      </c>
      <c r="C19">
        <v>1.65</v>
      </c>
      <c r="D19">
        <v>1.45</v>
      </c>
      <c r="E19">
        <f>ABS(tblScreen[[#This Row],[RSI L]]-tblScreen[[#This Row],[RSI R]])/MAX(tblScreen[[#This Row],[RSI L]],tblScreen[[#This Row],[RSI R]])*100</f>
        <v>12.121212121212119</v>
      </c>
      <c r="F19">
        <v>60</v>
      </c>
      <c r="G19">
        <v>34</v>
      </c>
      <c r="H19">
        <f>ABS(tblScreen[[#This Row],[Balance L]]-tblScreen[[#This Row],[Balance R]])/MAX(tblScreen[[#This Row],[Balance L]],tblScreen[[#This Row],[Balance R]])*100</f>
        <v>43.333333333333336</v>
      </c>
      <c r="I19">
        <v>47.9</v>
      </c>
      <c r="J19">
        <v>50.9</v>
      </c>
      <c r="K19">
        <f>ABS(tblScreen[[#This Row],[Groin L]]-tblScreen[[#This Row],[Groin R]])/MAX(tblScreen[[#This Row],[Groin L]],tblScreen[[#This Row],[Groin R]])*100</f>
        <v>5.8939096267190569</v>
      </c>
      <c r="L19">
        <v>22.11</v>
      </c>
      <c r="M19">
        <v>26.3</v>
      </c>
      <c r="N19">
        <f>ABS(tblScreen[[#This Row],[Hamstring L]]-tblScreen[[#This Row],[Hamstring R]])/MAX(tblScreen[[#This Row],[Hamstring L]],tblScreen[[#This Row],[Hamstring R]])*100</f>
        <v>15.93155893536122</v>
      </c>
      <c r="O19">
        <v>44.5</v>
      </c>
      <c r="P19">
        <v>37.5</v>
      </c>
      <c r="Q19">
        <f>ABS(tblScreen[[#This Row],[Grip L]]-tblScreen[[#This Row],[Grip R]])/MAX(tblScreen[[#This Row],[Grip L]],tblScreen[[#This Row],[Grip R]])*100</f>
        <v>15.730337078651685</v>
      </c>
      <c r="R19" s="7"/>
      <c r="S19" s="7"/>
      <c r="T19" s="7" t="str">
        <f>IFERROR(ABS(tblScreen[[#This Row],[Quad L]]-tblScreen[[#This Row],[Quad R]])/MAX(tblScreen[[#This Row],[Quad L]],tblScreen[[#This Row],[Quad R]])*100,"")</f>
        <v/>
      </c>
      <c r="U19" s="7"/>
      <c r="V19" s="7"/>
      <c r="W19" s="7" t="str">
        <f>IFERROR(ABS(tblScreen[[#This Row],[Hip Abd L]]-tblScreen[[#This Row],[Hip Abd R]])/MAX(tblScreen[[#This Row],[Hip Abd L]],tblScreen[[#This Row],[Hip Abd R]])*100,"")</f>
        <v/>
      </c>
      <c r="X19" s="7"/>
      <c r="Y19" s="7"/>
      <c r="Z19" s="7" t="str">
        <f>IFERROR(ABS(tblScreen[[#This Row],[Ankle DF L]]-tblScreen[[#This Row],[Ankle DF R]])/MAX(tblScreen[[#This Row],[Ankle DF L]],tblScreen[[#This Row],[Ankle DF R]])*100,"")</f>
        <v/>
      </c>
      <c r="AA19" s="7"/>
      <c r="AB19" s="7"/>
      <c r="AC19" s="7" t="str">
        <f>IFERROR(ABS(tblScreen[[#This Row],[Hop L]]-tblScreen[[#This Row],[Hop R]])/MAX(tblScreen[[#This Row],[Hop L]],tblScreen[[#This Row],[Hop R]])*100,"")</f>
        <v/>
      </c>
    </row>
    <row r="20" spans="1:29">
      <c r="A20" s="5" t="s">
        <v>110</v>
      </c>
      <c r="B20">
        <v>4.0999999999999996</v>
      </c>
      <c r="C20">
        <v>1.47</v>
      </c>
      <c r="D20">
        <v>1.32</v>
      </c>
      <c r="E20">
        <f>ABS(tblScreen[[#This Row],[RSI L]]-tblScreen[[#This Row],[RSI R]])/MAX(tblScreen[[#This Row],[RSI L]],tblScreen[[#This Row],[RSI R]])*100</f>
        <v>10.204081632653056</v>
      </c>
      <c r="F20">
        <v>59</v>
      </c>
      <c r="G20">
        <v>36</v>
      </c>
      <c r="H20">
        <f>ABS(tblScreen[[#This Row],[Balance L]]-tblScreen[[#This Row],[Balance R]])/MAX(tblScreen[[#This Row],[Balance L]],tblScreen[[#This Row],[Balance R]])*100</f>
        <v>38.983050847457626</v>
      </c>
      <c r="I20">
        <v>48.6</v>
      </c>
      <c r="J20">
        <v>50.5</v>
      </c>
      <c r="K20">
        <f>ABS(tblScreen[[#This Row],[Groin L]]-tblScreen[[#This Row],[Groin R]])/MAX(tblScreen[[#This Row],[Groin L]],tblScreen[[#This Row],[Groin R]])*100</f>
        <v>3.7623762376237595</v>
      </c>
      <c r="L20">
        <v>23.01</v>
      </c>
      <c r="M20">
        <v>27.5</v>
      </c>
      <c r="N20">
        <f>ABS(tblScreen[[#This Row],[Hamstring L]]-tblScreen[[#This Row],[Hamstring R]])/MAX(tblScreen[[#This Row],[Hamstring L]],tblScreen[[#This Row],[Hamstring R]])*100</f>
        <v>16.327272727272721</v>
      </c>
      <c r="O20">
        <v>40.5</v>
      </c>
      <c r="P20">
        <v>35</v>
      </c>
      <c r="Q20">
        <f>ABS(tblScreen[[#This Row],[Grip L]]-tblScreen[[#This Row],[Grip R]])/MAX(tblScreen[[#This Row],[Grip L]],tblScreen[[#This Row],[Grip R]])*100</f>
        <v>13.580246913580247</v>
      </c>
      <c r="R20" s="7"/>
      <c r="S20" s="7"/>
      <c r="T20" s="7" t="str">
        <f>IFERROR(ABS(tblScreen[[#This Row],[Quad L]]-tblScreen[[#This Row],[Quad R]])/MAX(tblScreen[[#This Row],[Quad L]],tblScreen[[#This Row],[Quad R]])*100,"")</f>
        <v/>
      </c>
      <c r="U20" s="7"/>
      <c r="V20" s="7"/>
      <c r="W20" s="7" t="str">
        <f>IFERROR(ABS(tblScreen[[#This Row],[Hip Abd L]]-tblScreen[[#This Row],[Hip Abd R]])/MAX(tblScreen[[#This Row],[Hip Abd L]],tblScreen[[#This Row],[Hip Abd R]])*100,"")</f>
        <v/>
      </c>
      <c r="X20" s="7"/>
      <c r="Y20" s="7"/>
      <c r="Z20" s="7" t="str">
        <f>IFERROR(ABS(tblScreen[[#This Row],[Ankle DF L]]-tblScreen[[#This Row],[Ankle DF R]])/MAX(tblScreen[[#This Row],[Ankle DF L]],tblScreen[[#This Row],[Ankle DF R]])*100,"")</f>
        <v/>
      </c>
      <c r="AA20" s="7"/>
      <c r="AB20" s="7"/>
      <c r="AC20" s="7" t="str">
        <f>IFERROR(ABS(tblScreen[[#This Row],[Hop L]]-tblScreen[[#This Row],[Hop R]])/MAX(tblScreen[[#This Row],[Hop L]],tblScreen[[#This Row],[Hop R]])*100,"")</f>
        <v/>
      </c>
    </row>
    <row r="21" spans="1:29">
      <c r="A21" s="5" t="s">
        <v>74</v>
      </c>
      <c r="B21">
        <v>3.9</v>
      </c>
      <c r="C21">
        <v>1.59</v>
      </c>
      <c r="D21">
        <v>1.31</v>
      </c>
      <c r="E21">
        <f>ABS(tblScreen[[#This Row],[RSI L]]-tblScreen[[#This Row],[RSI R]])/MAX(tblScreen[[#This Row],[RSI L]],tblScreen[[#This Row],[RSI R]])*100</f>
        <v>17.610062893081764</v>
      </c>
      <c r="F21">
        <v>57</v>
      </c>
      <c r="G21">
        <v>38</v>
      </c>
      <c r="H21">
        <f>ABS(tblScreen[[#This Row],[Balance L]]-tblScreen[[#This Row],[Balance R]])/MAX(tblScreen[[#This Row],[Balance L]],tblScreen[[#This Row],[Balance R]])*100</f>
        <v>33.333333333333329</v>
      </c>
      <c r="I21">
        <v>47.9</v>
      </c>
      <c r="J21">
        <v>52</v>
      </c>
      <c r="K21">
        <f>ABS(tblScreen[[#This Row],[Groin L]]-tblScreen[[#This Row],[Groin R]])/MAX(tblScreen[[#This Row],[Groin L]],tblScreen[[#This Row],[Groin R]])*100</f>
        <v>7.8846153846153868</v>
      </c>
      <c r="L21">
        <v>24</v>
      </c>
      <c r="M21">
        <v>25.9</v>
      </c>
      <c r="N21">
        <f>ABS(tblScreen[[#This Row],[Hamstring L]]-tblScreen[[#This Row],[Hamstring R]])/MAX(tblScreen[[#This Row],[Hamstring L]],tblScreen[[#This Row],[Hamstring R]])*100</f>
        <v>7.335907335907331</v>
      </c>
      <c r="O21">
        <v>41</v>
      </c>
      <c r="P21">
        <v>36</v>
      </c>
      <c r="Q21">
        <f>ABS(tblScreen[[#This Row],[Grip L]]-tblScreen[[#This Row],[Grip R]])/MAX(tblScreen[[#This Row],[Grip L]],tblScreen[[#This Row],[Grip R]])*100</f>
        <v>12.195121951219512</v>
      </c>
      <c r="R21" s="7"/>
      <c r="S21" s="7"/>
      <c r="T21" s="7" t="str">
        <f>IFERROR(ABS(tblScreen[[#This Row],[Quad L]]-tblScreen[[#This Row],[Quad R]])/MAX(tblScreen[[#This Row],[Quad L]],tblScreen[[#This Row],[Quad R]])*100,"")</f>
        <v/>
      </c>
      <c r="U21" s="7"/>
      <c r="V21" s="7"/>
      <c r="W21" s="7" t="str">
        <f>IFERROR(ABS(tblScreen[[#This Row],[Hip Abd L]]-tblScreen[[#This Row],[Hip Abd R]])/MAX(tblScreen[[#This Row],[Hip Abd L]],tblScreen[[#This Row],[Hip Abd R]])*100,"")</f>
        <v/>
      </c>
      <c r="X21" s="7"/>
      <c r="Y21" s="7"/>
      <c r="Z21" s="7" t="str">
        <f>IFERROR(ABS(tblScreen[[#This Row],[Ankle DF L]]-tblScreen[[#This Row],[Ankle DF R]])/MAX(tblScreen[[#This Row],[Ankle DF L]],tblScreen[[#This Row],[Ankle DF R]])*100,"")</f>
        <v/>
      </c>
      <c r="AA21" s="7"/>
      <c r="AB21" s="7"/>
      <c r="AC21" s="7" t="str">
        <f>IFERROR(ABS(tblScreen[[#This Row],[Hop L]]-tblScreen[[#This Row],[Hop R]])/MAX(tblScreen[[#This Row],[Hop L]],tblScreen[[#This Row],[Hop R]])*100,"")</f>
        <v/>
      </c>
    </row>
    <row r="22" spans="1:29">
      <c r="A22" s="5" t="s">
        <v>108</v>
      </c>
      <c r="B22">
        <v>4</v>
      </c>
      <c r="C22">
        <v>1.69</v>
      </c>
      <c r="D22">
        <v>1.28</v>
      </c>
      <c r="E22">
        <f>ABS(tblScreen[[#This Row],[RSI L]]-tblScreen[[#This Row],[RSI R]])/MAX(tblScreen[[#This Row],[RSI L]],tblScreen[[#This Row],[RSI R]])*100</f>
        <v>24.260355029585796</v>
      </c>
      <c r="F22">
        <v>65</v>
      </c>
      <c r="G22">
        <v>29</v>
      </c>
      <c r="H22">
        <f>ABS(tblScreen[[#This Row],[Balance L]]-tblScreen[[#This Row],[Balance R]])/MAX(tblScreen[[#This Row],[Balance L]],tblScreen[[#This Row],[Balance R]])*100</f>
        <v>55.384615384615387</v>
      </c>
      <c r="I22">
        <v>48.1</v>
      </c>
      <c r="J22">
        <v>51.5</v>
      </c>
      <c r="K22">
        <f>ABS(tblScreen[[#This Row],[Groin L]]-tblScreen[[#This Row],[Groin R]])/MAX(tblScreen[[#This Row],[Groin L]],tblScreen[[#This Row],[Groin R]])*100</f>
        <v>6.6019417475728135</v>
      </c>
      <c r="L22">
        <v>23.6</v>
      </c>
      <c r="M22">
        <v>25.98</v>
      </c>
      <c r="N22">
        <f>ABS(tblScreen[[#This Row],[Hamstring L]]-tblScreen[[#This Row],[Hamstring R]])/MAX(tblScreen[[#This Row],[Hamstring L]],tblScreen[[#This Row],[Hamstring R]])*100</f>
        <v>9.1608929946112365</v>
      </c>
      <c r="O22">
        <v>42.5</v>
      </c>
      <c r="P22">
        <v>35</v>
      </c>
      <c r="Q22">
        <f>ABS(tblScreen[[#This Row],[Grip L]]-tblScreen[[#This Row],[Grip R]])/MAX(tblScreen[[#This Row],[Grip L]],tblScreen[[#This Row],[Grip R]])*100</f>
        <v>17.647058823529413</v>
      </c>
      <c r="R22" s="7"/>
      <c r="S22" s="7"/>
      <c r="T22" s="7" t="str">
        <f>IFERROR(ABS(tblScreen[[#This Row],[Quad L]]-tblScreen[[#This Row],[Quad R]])/MAX(tblScreen[[#This Row],[Quad L]],tblScreen[[#This Row],[Quad R]])*100,"")</f>
        <v/>
      </c>
      <c r="U22" s="7"/>
      <c r="V22" s="7"/>
      <c r="W22" s="7" t="str">
        <f>IFERROR(ABS(tblScreen[[#This Row],[Hip Abd L]]-tblScreen[[#This Row],[Hip Abd R]])/MAX(tblScreen[[#This Row],[Hip Abd L]],tblScreen[[#This Row],[Hip Abd R]])*100,"")</f>
        <v/>
      </c>
      <c r="X22" s="7"/>
      <c r="Y22" s="7"/>
      <c r="Z22" s="7" t="str">
        <f>IFERROR(ABS(tblScreen[[#This Row],[Ankle DF L]]-tblScreen[[#This Row],[Ankle DF R]])/MAX(tblScreen[[#This Row],[Ankle DF L]],tblScreen[[#This Row],[Ankle DF R]])*100,"")</f>
        <v/>
      </c>
      <c r="AA22" s="7"/>
      <c r="AB22" s="7"/>
      <c r="AC22" s="7" t="str">
        <f>IFERROR(ABS(tblScreen[[#This Row],[Hop L]]-tblScreen[[#This Row],[Hop R]])/MAX(tblScreen[[#This Row],[Hop L]],tblScreen[[#This Row],[Hop R]])*100,"")</f>
        <v/>
      </c>
    </row>
    <row r="23" spans="1:29">
      <c r="A23" s="5" t="s">
        <v>113</v>
      </c>
      <c r="B23">
        <v>4.5999999999999996</v>
      </c>
      <c r="C23">
        <v>1.79</v>
      </c>
      <c r="D23">
        <v>1.29</v>
      </c>
      <c r="E23">
        <f>ABS(tblScreen[[#This Row],[RSI L]]-tblScreen[[#This Row],[RSI R]])/MAX(tblScreen[[#This Row],[RSI L]],tblScreen[[#This Row],[RSI R]])*100</f>
        <v>27.932960893854748</v>
      </c>
      <c r="F23">
        <v>69</v>
      </c>
      <c r="G23">
        <v>31</v>
      </c>
      <c r="H23">
        <f>ABS(tblScreen[[#This Row],[Balance L]]-tblScreen[[#This Row],[Balance R]])/MAX(tblScreen[[#This Row],[Balance L]],tblScreen[[#This Row],[Balance R]])*100</f>
        <v>55.072463768115945</v>
      </c>
      <c r="I23">
        <v>48.6</v>
      </c>
      <c r="J23">
        <v>51.8</v>
      </c>
      <c r="K23">
        <f>ABS(tblScreen[[#This Row],[Groin L]]-tblScreen[[#This Row],[Groin R]])/MAX(tblScreen[[#This Row],[Groin L]],tblScreen[[#This Row],[Groin R]])*100</f>
        <v>6.1776061776061697</v>
      </c>
      <c r="L23">
        <v>24.5</v>
      </c>
      <c r="M23">
        <v>26.32</v>
      </c>
      <c r="N23">
        <f>ABS(tblScreen[[#This Row],[Hamstring L]]-tblScreen[[#This Row],[Hamstring R]])/MAX(tblScreen[[#This Row],[Hamstring L]],tblScreen[[#This Row],[Hamstring R]])*100</f>
        <v>6.9148936170212778</v>
      </c>
      <c r="O23">
        <v>42.1</v>
      </c>
      <c r="P23">
        <v>35.5</v>
      </c>
      <c r="Q23">
        <f>ABS(tblScreen[[#This Row],[Grip L]]-tblScreen[[#This Row],[Grip R]])/MAX(tblScreen[[#This Row],[Grip L]],tblScreen[[#This Row],[Grip R]])*100</f>
        <v>15.676959619952497</v>
      </c>
      <c r="R23" s="7"/>
      <c r="S23" s="7"/>
      <c r="T23" s="7" t="str">
        <f>IFERROR(ABS(tblScreen[[#This Row],[Quad L]]-tblScreen[[#This Row],[Quad R]])/MAX(tblScreen[[#This Row],[Quad L]],tblScreen[[#This Row],[Quad R]])*100,"")</f>
        <v/>
      </c>
      <c r="U23" s="7"/>
      <c r="V23" s="7"/>
      <c r="W23" s="7" t="str">
        <f>IFERROR(ABS(tblScreen[[#This Row],[Hip Abd L]]-tblScreen[[#This Row],[Hip Abd R]])/MAX(tblScreen[[#This Row],[Hip Abd L]],tblScreen[[#This Row],[Hip Abd R]])*100,"")</f>
        <v/>
      </c>
      <c r="X23" s="7"/>
      <c r="Y23" s="7"/>
      <c r="Z23" s="7" t="str">
        <f>IFERROR(ABS(tblScreen[[#This Row],[Ankle DF L]]-tblScreen[[#This Row],[Ankle DF R]])/MAX(tblScreen[[#This Row],[Ankle DF L]],tblScreen[[#This Row],[Ankle DF R]])*100,"")</f>
        <v/>
      </c>
      <c r="AA23" s="7"/>
      <c r="AB23" s="7"/>
      <c r="AC23" s="7" t="str">
        <f>IFERROR(ABS(tblScreen[[#This Row],[Hop L]]-tblScreen[[#This Row],[Hop R]])/MAX(tblScreen[[#This Row],[Hop L]],tblScreen[[#This Row],[Hop R]])*100,"")</f>
        <v/>
      </c>
    </row>
    <row r="24" spans="1:29">
      <c r="B24">
        <v>5.3</v>
      </c>
      <c r="C24">
        <v>1.74</v>
      </c>
      <c r="D24">
        <v>1.65</v>
      </c>
      <c r="E24">
        <f>ABS(tblScreen[[#This Row],[RSI L]]-tblScreen[[#This Row],[RSI R]])/MAX(tblScreen[[#This Row],[RSI L]],tblScreen[[#This Row],[RSI R]])*100</f>
        <v>5.1724137931034528</v>
      </c>
      <c r="F24">
        <v>65</v>
      </c>
      <c r="G24">
        <v>30</v>
      </c>
      <c r="H24">
        <f>ABS(tblScreen[[#This Row],[Balance L]]-tblScreen[[#This Row],[Balance R]])/MAX(tblScreen[[#This Row],[Balance L]],tblScreen[[#This Row],[Balance R]])*100</f>
        <v>53.846153846153847</v>
      </c>
      <c r="I24">
        <v>47.5</v>
      </c>
      <c r="J24">
        <v>52.1</v>
      </c>
      <c r="K24">
        <f>ABS(tblScreen[[#This Row],[Groin L]]-tblScreen[[#This Row],[Groin R]])/MAX(tblScreen[[#This Row],[Groin L]],tblScreen[[#This Row],[Groin R]])*100</f>
        <v>8.8291746641074873</v>
      </c>
      <c r="L24">
        <v>24</v>
      </c>
      <c r="M24">
        <v>26.3</v>
      </c>
      <c r="N24">
        <f>ABS(tblScreen[[#This Row],[Hamstring L]]-tblScreen[[#This Row],[Hamstring R]])/MAX(tblScreen[[#This Row],[Hamstring L]],tblScreen[[#This Row],[Hamstring R]])*100</f>
        <v>8.7452471482889766</v>
      </c>
      <c r="O24">
        <v>41.9</v>
      </c>
      <c r="P24">
        <v>36</v>
      </c>
      <c r="Q24">
        <f>ABS(tblScreen[[#This Row],[Grip L]]-tblScreen[[#This Row],[Grip R]])/MAX(tblScreen[[#This Row],[Grip L]],tblScreen[[#This Row],[Grip R]])*100</f>
        <v>14.081145584725535</v>
      </c>
      <c r="R24" s="7"/>
      <c r="S24" s="7"/>
      <c r="T24" s="7" t="str">
        <f>IFERROR(ABS(tblScreen[[#This Row],[Quad L]]-tblScreen[[#This Row],[Quad R]])/MAX(tblScreen[[#This Row],[Quad L]],tblScreen[[#This Row],[Quad R]])*100,"")</f>
        <v/>
      </c>
      <c r="U24" s="7"/>
      <c r="V24" s="7"/>
      <c r="W24" s="7" t="str">
        <f>IFERROR(ABS(tblScreen[[#This Row],[Hip Abd L]]-tblScreen[[#This Row],[Hip Abd R]])/MAX(tblScreen[[#This Row],[Hip Abd L]],tblScreen[[#This Row],[Hip Abd R]])*100,"")</f>
        <v/>
      </c>
      <c r="X24" s="7"/>
      <c r="Y24" s="7"/>
      <c r="Z24" s="7" t="str">
        <f>IFERROR(ABS(tblScreen[[#This Row],[Ankle DF L]]-tblScreen[[#This Row],[Ankle DF R]])/MAX(tblScreen[[#This Row],[Ankle DF L]],tblScreen[[#This Row],[Ankle DF R]])*100,"")</f>
        <v/>
      </c>
      <c r="AA24" s="7"/>
      <c r="AB24" s="7"/>
      <c r="AC24" s="7" t="str">
        <f>IFERROR(ABS(tblScreen[[#This Row],[Hop L]]-tblScreen[[#This Row],[Hop R]])/MAX(tblScreen[[#This Row],[Hop L]],tblScreen[[#This Row],[Hop R]])*100,"")</f>
        <v/>
      </c>
    </row>
  </sheetData>
  <conditionalFormatting sqref="E1:E1048576 H1:H1048576">
    <cfRule type="cellIs" dxfId="11" priority="19" operator="greaterThan">
      <formula>15</formula>
    </cfRule>
    <cfRule type="cellIs" dxfId="10" priority="27" operator="greaterThan">
      <formula>15</formula>
    </cfRule>
    <cfRule type="cellIs" dxfId="9" priority="28" operator="between">
      <formula>10</formula>
      <formula>15</formula>
    </cfRule>
    <cfRule type="cellIs" dxfId="8" priority="29" operator="lessThan">
      <formula>10</formula>
    </cfRule>
  </conditionalFormatting>
  <conditionalFormatting sqref="K1:K1048576 N1:N1048576 Q1:Q1048576">
    <cfRule type="cellIs" dxfId="7" priority="21" operator="greaterThan">
      <formula>15</formula>
    </cfRule>
    <cfRule type="cellIs" dxfId="6" priority="22" operator="between">
      <formula>10</formula>
      <formula>15</formula>
    </cfRule>
    <cfRule type="cellIs" dxfId="5" priority="23" operator="lessThan">
      <formula>10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A2" sqref="A2:A23"/>
    </sheetView>
  </sheetViews>
  <sheetFormatPr defaultRowHeight="14.25"/>
  <cols>
    <col min="1" max="1" width="45.75" bestFit="1" customWidth="1"/>
    <col min="2" max="2" width="16.375" customWidth="1"/>
    <col min="3" max="3" width="18.875" customWidth="1"/>
    <col min="4" max="4" width="18.75" customWidth="1"/>
    <col min="5" max="5" width="17.625" customWidth="1"/>
    <col min="6" max="6" width="15.625" customWidth="1"/>
    <col min="7" max="7" width="17.875" customWidth="1"/>
    <col min="8" max="8" width="15.625" customWidth="1"/>
    <col min="9" max="9" width="14.125" customWidth="1"/>
    <col min="10" max="10" width="18.25" customWidth="1"/>
    <col min="11" max="11" width="15.875" customWidth="1"/>
    <col min="12" max="12" width="17.875" customWidth="1"/>
    <col min="13" max="13" width="19.375" customWidth="1"/>
    <col min="14" max="14" width="16" customWidth="1"/>
  </cols>
  <sheetData>
    <row r="1" spans="1:14">
      <c r="A1" t="s">
        <v>15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</row>
    <row r="2" spans="1:14">
      <c r="A2" t="s">
        <v>6</v>
      </c>
      <c r="B2">
        <v>28.2</v>
      </c>
      <c r="C2">
        <v>34.799999999999997</v>
      </c>
      <c r="D2">
        <f>(tblPerf[[#This Row],[CMJ]]-tblPerf[[#This Row],[SJ]])/tblPerf[[#This Row],[CMJ]]*100</f>
        <v>18.965517241379306</v>
      </c>
      <c r="E2">
        <v>22.1</v>
      </c>
      <c r="F2">
        <v>21.7</v>
      </c>
      <c r="G2">
        <v>1.8</v>
      </c>
      <c r="H2">
        <v>1.7450000000000001</v>
      </c>
      <c r="I2">
        <v>4.6539999999999999</v>
      </c>
      <c r="J2">
        <v>1.7889999999999999</v>
      </c>
      <c r="K2">
        <v>2.8759999999999999</v>
      </c>
      <c r="L2">
        <v>2.9849999999999999</v>
      </c>
      <c r="M2">
        <f>ABS(tblPerf[[#This Row],[COD L]]-tblPerf[[#This Row],[COD R]])/MAX(tblPerf[[#This Row],[COD L]],tblPerf[[#This Row],[COD R]])*100</f>
        <v>3.6515912897822438</v>
      </c>
      <c r="N2">
        <v>89</v>
      </c>
    </row>
    <row r="3" spans="1:14">
      <c r="A3" t="s">
        <v>111</v>
      </c>
      <c r="B3">
        <v>25</v>
      </c>
      <c r="C3">
        <v>30</v>
      </c>
      <c r="D3">
        <f>(tblPerf[[#This Row],[CMJ]]-tblPerf[[#This Row],[SJ]])/tblPerf[[#This Row],[CMJ]]*100</f>
        <v>16.666666666666664</v>
      </c>
      <c r="E3">
        <v>22</v>
      </c>
      <c r="F3">
        <v>20</v>
      </c>
      <c r="G3">
        <v>1.9</v>
      </c>
      <c r="H3">
        <v>1.78</v>
      </c>
      <c r="I3">
        <v>4.0999999999999996</v>
      </c>
      <c r="J3">
        <v>1.74</v>
      </c>
      <c r="K3">
        <v>2.8</v>
      </c>
      <c r="L3">
        <v>2.78</v>
      </c>
      <c r="M3">
        <f>ABS(tblPerf[[#This Row],[COD L]]-tblPerf[[#This Row],[COD R]])/MAX(tblPerf[[#This Row],[COD L]],tblPerf[[#This Row],[COD R]])*100</f>
        <v>0.71428571428571497</v>
      </c>
      <c r="N3">
        <v>88</v>
      </c>
    </row>
    <row r="4" spans="1:14">
      <c r="A4" s="13" t="s">
        <v>69</v>
      </c>
      <c r="B4">
        <v>26</v>
      </c>
      <c r="C4">
        <v>27</v>
      </c>
      <c r="D4">
        <f>(tblPerf[[#This Row],[CMJ]]-tblPerf[[#This Row],[SJ]])/tblPerf[[#This Row],[CMJ]]*100</f>
        <v>3.7037037037037033</v>
      </c>
      <c r="E4">
        <v>23.9</v>
      </c>
      <c r="F4">
        <v>23</v>
      </c>
      <c r="G4">
        <v>1.7</v>
      </c>
      <c r="H4">
        <v>1.74</v>
      </c>
      <c r="I4">
        <v>4.5999999999999996</v>
      </c>
      <c r="J4">
        <v>1.74</v>
      </c>
      <c r="K4">
        <v>2.8</v>
      </c>
      <c r="L4">
        <v>2.69</v>
      </c>
      <c r="M4">
        <f>ABS(tblPerf[[#This Row],[COD L]]-tblPerf[[#This Row],[COD R]])/MAX(tblPerf[[#This Row],[COD L]],tblPerf[[#This Row],[COD R]])*100</f>
        <v>3.9285714285714244</v>
      </c>
      <c r="N4">
        <v>87</v>
      </c>
    </row>
    <row r="5" spans="1:14">
      <c r="A5" s="13" t="s">
        <v>116</v>
      </c>
      <c r="B5">
        <v>25</v>
      </c>
      <c r="C5">
        <v>29</v>
      </c>
      <c r="D5">
        <f>(tblPerf[[#This Row],[CMJ]]-tblPerf[[#This Row],[SJ]])/tblPerf[[#This Row],[CMJ]]*100</f>
        <v>13.793103448275861</v>
      </c>
      <c r="E5">
        <v>23</v>
      </c>
      <c r="F5">
        <v>22.5</v>
      </c>
      <c r="G5">
        <v>1</v>
      </c>
      <c r="H5">
        <v>1.74</v>
      </c>
      <c r="I5">
        <v>4.5999999999999996</v>
      </c>
      <c r="J5">
        <v>1.8</v>
      </c>
      <c r="K5">
        <v>2.5</v>
      </c>
      <c r="L5">
        <v>2.87</v>
      </c>
      <c r="M5">
        <f>ABS(tblPerf[[#This Row],[COD L]]-tblPerf[[#This Row],[COD R]])/MAX(tblPerf[[#This Row],[COD L]],tblPerf[[#This Row],[COD R]])*100</f>
        <v>12.891986062717772</v>
      </c>
      <c r="N5">
        <v>85</v>
      </c>
    </row>
    <row r="6" spans="1:14">
      <c r="A6" s="11" t="s">
        <v>107</v>
      </c>
      <c r="B6">
        <v>23.9</v>
      </c>
      <c r="C6">
        <v>34</v>
      </c>
      <c r="D6">
        <f>(tblPerf[[#This Row],[CMJ]]-tblPerf[[#This Row],[SJ]])/tblPerf[[#This Row],[CMJ]]*100</f>
        <v>29.705882352941181</v>
      </c>
      <c r="E6">
        <v>24.3</v>
      </c>
      <c r="F6">
        <v>23.6</v>
      </c>
      <c r="G6">
        <v>1</v>
      </c>
      <c r="H6">
        <v>1.8</v>
      </c>
      <c r="I6">
        <v>5</v>
      </c>
      <c r="J6">
        <v>1.89</v>
      </c>
      <c r="K6">
        <v>2.65</v>
      </c>
      <c r="L6">
        <v>2.4500000000000002</v>
      </c>
      <c r="M6">
        <f>ABS(tblPerf[[#This Row],[COD L]]-tblPerf[[#This Row],[COD R]])/MAX(tblPerf[[#This Row],[COD L]],tblPerf[[#This Row],[COD R]])*100</f>
        <v>7.547169811320745</v>
      </c>
      <c r="N6">
        <v>86</v>
      </c>
    </row>
    <row r="7" spans="1:14">
      <c r="A7" s="5" t="s">
        <v>121</v>
      </c>
      <c r="B7">
        <v>28.3</v>
      </c>
      <c r="C7">
        <v>37</v>
      </c>
      <c r="D7">
        <f>(tblPerf[[#This Row],[CMJ]]-tblPerf[[#This Row],[SJ]])/tblPerf[[#This Row],[CMJ]]*100</f>
        <v>23.513513513513512</v>
      </c>
      <c r="E7">
        <v>21.5</v>
      </c>
      <c r="F7">
        <v>28.6</v>
      </c>
      <c r="G7">
        <v>2</v>
      </c>
      <c r="H7">
        <v>1.89</v>
      </c>
      <c r="I7">
        <v>4.2</v>
      </c>
      <c r="J7">
        <v>1.85</v>
      </c>
      <c r="K7">
        <v>2.87</v>
      </c>
      <c r="L7">
        <v>2.96</v>
      </c>
      <c r="M7">
        <f>ABS(tblPerf[[#This Row],[COD L]]-tblPerf[[#This Row],[COD R]])/MAX(tblPerf[[#This Row],[COD L]],tblPerf[[#This Row],[COD R]])*100</f>
        <v>3.0405405405405359</v>
      </c>
      <c r="N7">
        <v>83</v>
      </c>
    </row>
    <row r="8" spans="1:14">
      <c r="A8" s="11" t="s">
        <v>70</v>
      </c>
      <c r="B8">
        <v>23.9</v>
      </c>
      <c r="C8">
        <v>36</v>
      </c>
      <c r="D8">
        <f>(tblPerf[[#This Row],[CMJ]]-tblPerf[[#This Row],[SJ]])/tblPerf[[#This Row],[CMJ]]*100</f>
        <v>33.611111111111114</v>
      </c>
      <c r="E8">
        <v>23</v>
      </c>
      <c r="F8">
        <v>26.8</v>
      </c>
      <c r="G8">
        <v>1.5</v>
      </c>
      <c r="H8">
        <v>1.85</v>
      </c>
      <c r="I8">
        <v>4.3</v>
      </c>
      <c r="J8">
        <v>1.96</v>
      </c>
      <c r="K8">
        <v>2.78</v>
      </c>
      <c r="L8">
        <v>3.02</v>
      </c>
      <c r="M8">
        <f>ABS(tblPerf[[#This Row],[COD L]]-tblPerf[[#This Row],[COD R]])/MAX(tblPerf[[#This Row],[COD L]],tblPerf[[#This Row],[COD R]])*100</f>
        <v>7.9470198675496757</v>
      </c>
      <c r="N8">
        <v>87</v>
      </c>
    </row>
    <row r="9" spans="1:14">
      <c r="A9" s="11" t="s">
        <v>71</v>
      </c>
      <c r="B9">
        <v>29.7</v>
      </c>
      <c r="C9">
        <v>38</v>
      </c>
      <c r="D9">
        <f>(tblPerf[[#This Row],[CMJ]]-tblPerf[[#This Row],[SJ]])/tblPerf[[#This Row],[CMJ]]*100</f>
        <v>21.842105263157897</v>
      </c>
      <c r="E9">
        <v>22</v>
      </c>
      <c r="F9">
        <v>24.3</v>
      </c>
      <c r="G9">
        <v>1.2</v>
      </c>
      <c r="H9">
        <v>1.96</v>
      </c>
      <c r="I9">
        <v>4.9000000000000004</v>
      </c>
      <c r="J9">
        <v>1.6</v>
      </c>
      <c r="K9">
        <v>2.69</v>
      </c>
      <c r="L9">
        <v>2.87</v>
      </c>
      <c r="M9">
        <f>ABS(tblPerf[[#This Row],[COD L]]-tblPerf[[#This Row],[COD R]])/MAX(tblPerf[[#This Row],[COD L]],tblPerf[[#This Row],[COD R]])*100</f>
        <v>6.2717770034843259</v>
      </c>
      <c r="N9">
        <v>89</v>
      </c>
    </row>
    <row r="10" spans="1:14">
      <c r="A10" s="11" t="s">
        <v>115</v>
      </c>
      <c r="B10">
        <v>27.5</v>
      </c>
      <c r="C10">
        <v>31</v>
      </c>
      <c r="D10">
        <f>(tblPerf[[#This Row],[CMJ]]-tblPerf[[#This Row],[SJ]])/tblPerf[[#This Row],[CMJ]]*100</f>
        <v>11.29032258064516</v>
      </c>
      <c r="E10">
        <v>20</v>
      </c>
      <c r="F10">
        <v>25.9</v>
      </c>
      <c r="G10">
        <v>1.8</v>
      </c>
      <c r="H10">
        <v>1.6</v>
      </c>
      <c r="I10">
        <v>4</v>
      </c>
      <c r="J10">
        <v>1.39</v>
      </c>
      <c r="K10">
        <v>2.81</v>
      </c>
      <c r="L10">
        <v>2.69</v>
      </c>
      <c r="M10">
        <f>ABS(tblPerf[[#This Row],[COD L]]-tblPerf[[#This Row],[COD R]])/MAX(tblPerf[[#This Row],[COD L]],tblPerf[[#This Row],[COD R]])*100</f>
        <v>4.2704626334519613</v>
      </c>
      <c r="N10">
        <v>85</v>
      </c>
    </row>
    <row r="11" spans="1:14">
      <c r="A11" s="11" t="s">
        <v>114</v>
      </c>
      <c r="B11">
        <v>28</v>
      </c>
      <c r="C11">
        <v>35</v>
      </c>
      <c r="D11">
        <f>(tblPerf[[#This Row],[CMJ]]-tblPerf[[#This Row],[SJ]])/tblPerf[[#This Row],[CMJ]]*100</f>
        <v>20</v>
      </c>
      <c r="E11">
        <v>20.9</v>
      </c>
      <c r="F11">
        <v>29.9</v>
      </c>
      <c r="G11">
        <v>2.1</v>
      </c>
      <c r="H11">
        <v>1.39</v>
      </c>
      <c r="I11">
        <v>4.0999999999999996</v>
      </c>
      <c r="J11">
        <v>1.45</v>
      </c>
      <c r="K11">
        <v>2.786</v>
      </c>
      <c r="L11">
        <v>2.74</v>
      </c>
      <c r="M11">
        <f>ABS(tblPerf[[#This Row],[COD L]]-tblPerf[[#This Row],[COD R]])/MAX(tblPerf[[#This Row],[COD L]],tblPerf[[#This Row],[COD R]])*100</f>
        <v>1.6511127063890816</v>
      </c>
      <c r="N11">
        <v>82</v>
      </c>
    </row>
    <row r="12" spans="1:14">
      <c r="A12" s="11" t="s">
        <v>72</v>
      </c>
      <c r="B12">
        <v>25</v>
      </c>
      <c r="C12">
        <v>36</v>
      </c>
      <c r="D12">
        <f>(tblPerf[[#This Row],[CMJ]]-tblPerf[[#This Row],[SJ]])/tblPerf[[#This Row],[CMJ]]*100</f>
        <v>30.555555555555557</v>
      </c>
      <c r="E12">
        <v>25.9</v>
      </c>
      <c r="F12">
        <v>21.3</v>
      </c>
      <c r="G12">
        <v>1</v>
      </c>
      <c r="H12">
        <v>1.45</v>
      </c>
      <c r="I12">
        <v>5.0999999999999996</v>
      </c>
      <c r="J12">
        <v>1.9</v>
      </c>
      <c r="K12">
        <v>2.74</v>
      </c>
      <c r="L12">
        <v>2.69</v>
      </c>
      <c r="M12">
        <f>ABS(tblPerf[[#This Row],[COD L]]-tblPerf[[#This Row],[COD R]])/MAX(tblPerf[[#This Row],[COD L]],tblPerf[[#This Row],[COD R]])*100</f>
        <v>1.8248175182481847</v>
      </c>
      <c r="N12">
        <v>81</v>
      </c>
    </row>
    <row r="13" spans="1:14">
      <c r="A13" s="11" t="s">
        <v>117</v>
      </c>
      <c r="B13">
        <v>24</v>
      </c>
      <c r="C13">
        <v>36</v>
      </c>
      <c r="D13">
        <f>(tblPerf[[#This Row],[CMJ]]-tblPerf[[#This Row],[SJ]])/tblPerf[[#This Row],[CMJ]]*100</f>
        <v>33.333333333333329</v>
      </c>
      <c r="E13">
        <v>25.6</v>
      </c>
      <c r="F13">
        <v>22.2</v>
      </c>
      <c r="G13">
        <v>1.9</v>
      </c>
      <c r="H13">
        <v>1.9</v>
      </c>
      <c r="I13">
        <v>4.5599999999999996</v>
      </c>
      <c r="J13">
        <v>1.5</v>
      </c>
      <c r="K13">
        <v>2.99</v>
      </c>
      <c r="L13">
        <v>2.88</v>
      </c>
      <c r="M13">
        <f>ABS(tblPerf[[#This Row],[COD L]]-tblPerf[[#This Row],[COD R]])/MAX(tblPerf[[#This Row],[COD L]],tblPerf[[#This Row],[COD R]])*100</f>
        <v>3.6789297658862985</v>
      </c>
      <c r="N13">
        <v>83</v>
      </c>
    </row>
    <row r="14" spans="1:14">
      <c r="A14" s="12" t="s">
        <v>120</v>
      </c>
      <c r="B14">
        <v>21</v>
      </c>
      <c r="C14">
        <v>37</v>
      </c>
      <c r="D14">
        <f>(tblPerf[[#This Row],[CMJ]]-tblPerf[[#This Row],[SJ]])/tblPerf[[#This Row],[CMJ]]*100</f>
        <v>43.243243243243242</v>
      </c>
      <c r="E14">
        <v>24.9</v>
      </c>
      <c r="F14">
        <v>22</v>
      </c>
      <c r="G14">
        <v>1.7</v>
      </c>
      <c r="H14">
        <v>1.5</v>
      </c>
      <c r="I14">
        <v>4.21</v>
      </c>
      <c r="J14">
        <v>1.98</v>
      </c>
      <c r="K14">
        <v>2.89</v>
      </c>
      <c r="L14">
        <v>2.74</v>
      </c>
      <c r="M14">
        <f>ABS(tblPerf[[#This Row],[COD L]]-tblPerf[[#This Row],[COD R]])/MAX(tblPerf[[#This Row],[COD L]],tblPerf[[#This Row],[COD R]])*100</f>
        <v>5.190311418685118</v>
      </c>
      <c r="N14">
        <v>92</v>
      </c>
    </row>
    <row r="15" spans="1:14">
      <c r="A15" s="11" t="s">
        <v>109</v>
      </c>
      <c r="B15">
        <v>26</v>
      </c>
      <c r="C15">
        <v>32</v>
      </c>
      <c r="D15">
        <f>(tblPerf[[#This Row],[CMJ]]-tblPerf[[#This Row],[SJ]])/tblPerf[[#This Row],[CMJ]]*100</f>
        <v>18.75</v>
      </c>
      <c r="E15">
        <v>28.8</v>
      </c>
      <c r="F15">
        <v>28.3</v>
      </c>
      <c r="G15">
        <v>1.5</v>
      </c>
      <c r="H15">
        <v>1.98</v>
      </c>
      <c r="I15">
        <v>4.2</v>
      </c>
      <c r="J15">
        <v>1.45</v>
      </c>
      <c r="K15">
        <v>3.01</v>
      </c>
      <c r="L15">
        <v>2.99</v>
      </c>
      <c r="M15">
        <f>ABS(tblPerf[[#This Row],[COD L]]-tblPerf[[#This Row],[COD R]])/MAX(tblPerf[[#This Row],[COD L]],tblPerf[[#This Row],[COD R]])*100</f>
        <v>0.66445182724251084</v>
      </c>
      <c r="N15">
        <v>87</v>
      </c>
    </row>
    <row r="16" spans="1:14">
      <c r="A16" s="14" t="s">
        <v>112</v>
      </c>
      <c r="B16">
        <v>29</v>
      </c>
      <c r="C16">
        <v>33</v>
      </c>
      <c r="D16">
        <f>(tblPerf[[#This Row],[CMJ]]-tblPerf[[#This Row],[SJ]])/tblPerf[[#This Row],[CMJ]]*100</f>
        <v>12.121212121212121</v>
      </c>
      <c r="E16">
        <v>29.9</v>
      </c>
      <c r="F16">
        <v>24.3</v>
      </c>
      <c r="G16">
        <v>1.4</v>
      </c>
      <c r="H16">
        <v>1.45</v>
      </c>
      <c r="I16">
        <v>3.96</v>
      </c>
      <c r="J16">
        <v>1.74</v>
      </c>
      <c r="K16">
        <v>2.74</v>
      </c>
      <c r="L16">
        <v>2.89</v>
      </c>
      <c r="M16">
        <f>ABS(tblPerf[[#This Row],[COD L]]-tblPerf[[#This Row],[COD R]])/MAX(tblPerf[[#This Row],[COD L]],tblPerf[[#This Row],[COD R]])*100</f>
        <v>5.190311418685118</v>
      </c>
      <c r="N16">
        <v>90</v>
      </c>
    </row>
    <row r="17" spans="1:14">
      <c r="A17" s="11" t="s">
        <v>73</v>
      </c>
      <c r="B17">
        <v>23</v>
      </c>
      <c r="C17">
        <v>30</v>
      </c>
      <c r="D17">
        <f>(tblPerf[[#This Row],[CMJ]]-tblPerf[[#This Row],[SJ]])/tblPerf[[#This Row],[CMJ]]*100</f>
        <v>23.333333333333332</v>
      </c>
      <c r="E17">
        <v>30</v>
      </c>
      <c r="F17">
        <v>21.9</v>
      </c>
      <c r="G17">
        <v>1.9</v>
      </c>
      <c r="H17">
        <v>1.74</v>
      </c>
      <c r="I17">
        <v>5.6</v>
      </c>
      <c r="J17">
        <v>1.58</v>
      </c>
      <c r="K17">
        <v>2.99</v>
      </c>
      <c r="L17">
        <v>3.01</v>
      </c>
      <c r="M17">
        <f>ABS(tblPerf[[#This Row],[COD L]]-tblPerf[[#This Row],[COD R]])/MAX(tblPerf[[#This Row],[COD L]],tblPerf[[#This Row],[COD R]])*100</f>
        <v>0.66445182724251084</v>
      </c>
      <c r="N17">
        <v>91</v>
      </c>
    </row>
    <row r="18" spans="1:14">
      <c r="A18" s="11" t="s">
        <v>119</v>
      </c>
      <c r="B18">
        <v>25</v>
      </c>
      <c r="C18">
        <v>25.5</v>
      </c>
      <c r="D18">
        <f>(tblPerf[[#This Row],[CMJ]]-tblPerf[[#This Row],[SJ]])/tblPerf[[#This Row],[CMJ]]*100</f>
        <v>1.9607843137254901</v>
      </c>
      <c r="E18">
        <v>21.7</v>
      </c>
      <c r="F18">
        <v>25.6</v>
      </c>
      <c r="G18">
        <v>2.5</v>
      </c>
      <c r="H18">
        <v>1.58</v>
      </c>
      <c r="I18">
        <v>4</v>
      </c>
      <c r="J18">
        <v>1.8</v>
      </c>
      <c r="K18">
        <v>2.89</v>
      </c>
      <c r="L18">
        <v>2.99</v>
      </c>
      <c r="M18">
        <f>ABS(tblPerf[[#This Row],[COD L]]-tblPerf[[#This Row],[COD R]])/MAX(tblPerf[[#This Row],[COD L]],tblPerf[[#This Row],[COD R]])*100</f>
        <v>3.3444816053511732</v>
      </c>
      <c r="N18">
        <v>86</v>
      </c>
    </row>
    <row r="19" spans="1:14">
      <c r="A19" s="11" t="s">
        <v>118</v>
      </c>
      <c r="B19">
        <v>25.5</v>
      </c>
      <c r="C19">
        <v>36.6</v>
      </c>
      <c r="D19">
        <f>(tblPerf[[#This Row],[CMJ]]-tblPerf[[#This Row],[SJ]])/tblPerf[[#This Row],[CMJ]]*100</f>
        <v>30.327868852459016</v>
      </c>
      <c r="E19">
        <v>24.8</v>
      </c>
      <c r="F19">
        <v>26.8</v>
      </c>
      <c r="G19">
        <v>2.1</v>
      </c>
      <c r="H19">
        <v>1.8</v>
      </c>
      <c r="I19">
        <v>5.0999999999999996</v>
      </c>
      <c r="J19">
        <v>1.78</v>
      </c>
      <c r="K19">
        <v>3.01</v>
      </c>
      <c r="L19">
        <v>3.02</v>
      </c>
      <c r="M19">
        <f>ABS(tblPerf[[#This Row],[COD L]]-tblPerf[[#This Row],[COD R]])/MAX(tblPerf[[#This Row],[COD L]],tblPerf[[#This Row],[COD R]])*100</f>
        <v>0.33112582781457717</v>
      </c>
      <c r="N19">
        <v>87</v>
      </c>
    </row>
    <row r="20" spans="1:14">
      <c r="A20" s="11" t="s">
        <v>110</v>
      </c>
      <c r="B20">
        <v>29</v>
      </c>
      <c r="C20">
        <v>37.200000000000003</v>
      </c>
      <c r="D20">
        <f>(tblPerf[[#This Row],[CMJ]]-tblPerf[[#This Row],[SJ]])/tblPerf[[#This Row],[CMJ]]*100</f>
        <v>22.043010752688179</v>
      </c>
      <c r="E20">
        <v>28.5</v>
      </c>
      <c r="F20">
        <v>24.3</v>
      </c>
      <c r="G20">
        <v>2</v>
      </c>
      <c r="H20">
        <v>1.78</v>
      </c>
      <c r="I20">
        <v>4.0960000000000001</v>
      </c>
      <c r="J20">
        <v>1.65</v>
      </c>
      <c r="K20">
        <v>2.87</v>
      </c>
      <c r="L20">
        <v>3.05</v>
      </c>
      <c r="M20">
        <f>ABS(tblPerf[[#This Row],[COD L]]-tblPerf[[#This Row],[COD R]])/MAX(tblPerf[[#This Row],[COD L]],tblPerf[[#This Row],[COD R]])*100</f>
        <v>5.9016393442622865</v>
      </c>
      <c r="N20">
        <v>85</v>
      </c>
    </row>
    <row r="21" spans="1:14">
      <c r="A21" s="11" t="s">
        <v>74</v>
      </c>
      <c r="B21">
        <v>23</v>
      </c>
      <c r="C21">
        <v>38.9</v>
      </c>
      <c r="D21">
        <f>(tblPerf[[#This Row],[CMJ]]-tblPerf[[#This Row],[SJ]])/tblPerf[[#This Row],[CMJ]]*100</f>
        <v>40.874035989717221</v>
      </c>
      <c r="E21">
        <v>28.5</v>
      </c>
      <c r="F21">
        <v>29.3</v>
      </c>
      <c r="G21">
        <v>2</v>
      </c>
      <c r="H21">
        <v>1.65</v>
      </c>
      <c r="I21">
        <v>4.3</v>
      </c>
      <c r="J21">
        <v>1.83</v>
      </c>
      <c r="K21">
        <v>2.78</v>
      </c>
      <c r="L21">
        <v>2.89</v>
      </c>
      <c r="M21">
        <f>ABS(tblPerf[[#This Row],[COD L]]-tblPerf[[#This Row],[COD R]])/MAX(tblPerf[[#This Row],[COD L]],tblPerf[[#This Row],[COD R]])*100</f>
        <v>3.8062283737024334</v>
      </c>
      <c r="N21">
        <v>86</v>
      </c>
    </row>
    <row r="22" spans="1:14">
      <c r="A22" s="11" t="s">
        <v>108</v>
      </c>
      <c r="B22">
        <v>21.1</v>
      </c>
      <c r="C22">
        <v>35.200000000000003</v>
      </c>
      <c r="D22">
        <f>(tblPerf[[#This Row],[CMJ]]-tblPerf[[#This Row],[SJ]])/tblPerf[[#This Row],[CMJ]]*100</f>
        <v>40.05681818181818</v>
      </c>
      <c r="E22">
        <v>26</v>
      </c>
      <c r="F22">
        <v>24.5</v>
      </c>
      <c r="G22">
        <v>2.5</v>
      </c>
      <c r="H22">
        <v>1.83</v>
      </c>
      <c r="I22">
        <v>4.8</v>
      </c>
      <c r="J22">
        <v>1.9</v>
      </c>
      <c r="K22">
        <v>2.69</v>
      </c>
      <c r="L22">
        <v>2.67</v>
      </c>
      <c r="M22">
        <f>ABS(tblPerf[[#This Row],[COD L]]-tblPerf[[#This Row],[COD R]])/MAX(tblPerf[[#This Row],[COD L]],tblPerf[[#This Row],[COD R]])*100</f>
        <v>0.74349442379182218</v>
      </c>
      <c r="N22">
        <v>82</v>
      </c>
    </row>
    <row r="23" spans="1:14">
      <c r="A23" s="14" t="s">
        <v>113</v>
      </c>
      <c r="B23">
        <v>28.6</v>
      </c>
      <c r="C23">
        <v>31</v>
      </c>
      <c r="D23">
        <f>(tblPerf[[#This Row],[CMJ]]-tblPerf[[#This Row],[SJ]])/tblPerf[[#This Row],[CMJ]]*100</f>
        <v>7.7419354838709626</v>
      </c>
      <c r="E23">
        <v>27</v>
      </c>
      <c r="F23">
        <v>25.5</v>
      </c>
      <c r="G23">
        <v>1.4</v>
      </c>
      <c r="H23">
        <v>1.9</v>
      </c>
      <c r="I23">
        <v>4.0199999999999996</v>
      </c>
      <c r="J23">
        <v>1.89</v>
      </c>
      <c r="K23">
        <v>2.89</v>
      </c>
      <c r="L23">
        <v>2.81</v>
      </c>
      <c r="M23">
        <f>ABS(tblPerf[[#This Row],[COD L]]-tblPerf[[#This Row],[COD R]])/MAX(tblPerf[[#This Row],[COD L]],tblPerf[[#This Row],[COD R]])*100</f>
        <v>2.7681660899654004</v>
      </c>
      <c r="N23">
        <v>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B35" sqref="B35"/>
    </sheetView>
  </sheetViews>
  <sheetFormatPr defaultRowHeight="14.25"/>
  <cols>
    <col min="1" max="1" width="39.875" bestFit="1" customWidth="1"/>
    <col min="2" max="2" width="16.625" customWidth="1"/>
    <col min="3" max="3" width="15.375" customWidth="1"/>
    <col min="4" max="4" width="14" customWidth="1"/>
    <col min="6" max="6" width="15.75" bestFit="1" customWidth="1"/>
  </cols>
  <sheetData>
    <row r="1" spans="1:6">
      <c r="A1" t="s">
        <v>15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6">
      <c r="A2" t="s">
        <v>6</v>
      </c>
      <c r="B2">
        <v>4.9000000000000004</v>
      </c>
      <c r="C2">
        <v>6.8</v>
      </c>
      <c r="D2">
        <v>4</v>
      </c>
      <c r="E2">
        <f>tblLoco[[#This Row],[Max Speed]]-tblLoco[[#This Row],[MAS]]</f>
        <v>2.8</v>
      </c>
      <c r="F2">
        <v>3</v>
      </c>
    </row>
    <row r="3" spans="1:6">
      <c r="A3" t="s">
        <v>111</v>
      </c>
      <c r="B3">
        <v>4.8</v>
      </c>
      <c r="C3">
        <v>6.7</v>
      </c>
      <c r="D3">
        <v>4</v>
      </c>
      <c r="E3">
        <f>tblLoco[[#This Row],[Max Speed]]-tblLoco[[#This Row],[MAS]]</f>
        <v>2.7</v>
      </c>
      <c r="F3">
        <v>3</v>
      </c>
    </row>
    <row r="4" spans="1:6">
      <c r="A4" s="13" t="s">
        <v>69</v>
      </c>
      <c r="B4">
        <v>4</v>
      </c>
      <c r="C4">
        <v>6.5</v>
      </c>
      <c r="D4">
        <v>5</v>
      </c>
      <c r="E4">
        <f>tblLoco[[#This Row],[Max Speed]]-tblLoco[[#This Row],[MAS]]</f>
        <v>1.5</v>
      </c>
      <c r="F4">
        <v>3</v>
      </c>
    </row>
    <row r="5" spans="1:6">
      <c r="A5" s="13" t="s">
        <v>116</v>
      </c>
      <c r="B5">
        <v>4.5</v>
      </c>
      <c r="C5">
        <v>6</v>
      </c>
      <c r="D5">
        <v>4</v>
      </c>
      <c r="E5">
        <f>tblLoco[[#This Row],[Max Speed]]-tblLoco[[#This Row],[MAS]]</f>
        <v>2</v>
      </c>
      <c r="F5">
        <v>3</v>
      </c>
    </row>
    <row r="6" spans="1:6">
      <c r="A6" s="11" t="s">
        <v>107</v>
      </c>
      <c r="B6">
        <v>4.5999999999999996</v>
      </c>
      <c r="C6">
        <v>6.3</v>
      </c>
      <c r="D6">
        <v>5</v>
      </c>
      <c r="E6">
        <f>tblLoco[[#This Row],[Max Speed]]-tblLoco[[#This Row],[MAS]]</f>
        <v>1.2999999999999998</v>
      </c>
      <c r="F6">
        <v>3</v>
      </c>
    </row>
    <row r="7" spans="1:6">
      <c r="A7" s="5" t="s">
        <v>121</v>
      </c>
      <c r="B7">
        <v>5</v>
      </c>
      <c r="C7">
        <v>6.9</v>
      </c>
      <c r="D7">
        <v>4</v>
      </c>
      <c r="E7">
        <f>tblLoco[[#This Row],[Max Speed]]-tblLoco[[#This Row],[MAS]]</f>
        <v>2.9000000000000004</v>
      </c>
      <c r="F7">
        <v>3</v>
      </c>
    </row>
    <row r="8" spans="1:6">
      <c r="A8" s="11" t="s">
        <v>70</v>
      </c>
      <c r="B8">
        <v>4.9000000000000004</v>
      </c>
      <c r="C8">
        <v>6.1</v>
      </c>
      <c r="D8">
        <v>4.5</v>
      </c>
      <c r="E8">
        <f>tblLoco[[#This Row],[Max Speed]]-tblLoco[[#This Row],[MAS]]</f>
        <v>1.5999999999999996</v>
      </c>
      <c r="F8">
        <v>3</v>
      </c>
    </row>
    <row r="9" spans="1:6">
      <c r="A9" s="11" t="s">
        <v>71</v>
      </c>
      <c r="B9">
        <v>5.0999999999999996</v>
      </c>
      <c r="C9">
        <v>5.6</v>
      </c>
      <c r="D9">
        <v>4.3</v>
      </c>
      <c r="E9">
        <f>tblLoco[[#This Row],[Max Speed]]-tblLoco[[#This Row],[MAS]]</f>
        <v>1.2999999999999998</v>
      </c>
      <c r="F9">
        <v>3</v>
      </c>
    </row>
    <row r="10" spans="1:6">
      <c r="A10" s="11" t="s">
        <v>115</v>
      </c>
      <c r="B10">
        <v>6</v>
      </c>
      <c r="C10">
        <v>5.9</v>
      </c>
      <c r="D10">
        <v>4.3</v>
      </c>
      <c r="E10">
        <f>tblLoco[[#This Row],[Max Speed]]-tblLoco[[#This Row],[MAS]]</f>
        <v>1.6000000000000005</v>
      </c>
      <c r="F10">
        <v>3</v>
      </c>
    </row>
    <row r="11" spans="1:6">
      <c r="A11" s="11" t="s">
        <v>114</v>
      </c>
      <c r="B11">
        <v>4.5</v>
      </c>
      <c r="C11">
        <v>5</v>
      </c>
      <c r="D11">
        <v>4.5999999999999996</v>
      </c>
      <c r="E11">
        <f>tblLoco[[#This Row],[Max Speed]]-tblLoco[[#This Row],[MAS]]</f>
        <v>0.40000000000000036</v>
      </c>
      <c r="F11">
        <v>3</v>
      </c>
    </row>
    <row r="12" spans="1:6">
      <c r="A12" s="11" t="s">
        <v>72</v>
      </c>
      <c r="B12">
        <v>5.01</v>
      </c>
      <c r="C12">
        <v>7</v>
      </c>
      <c r="D12">
        <v>4.8</v>
      </c>
      <c r="E12">
        <f>tblLoco[[#This Row],[Max Speed]]-tblLoco[[#This Row],[MAS]]</f>
        <v>2.2000000000000002</v>
      </c>
      <c r="F12">
        <v>3</v>
      </c>
    </row>
    <row r="13" spans="1:6">
      <c r="A13" s="11" t="s">
        <v>117</v>
      </c>
      <c r="B13">
        <v>5</v>
      </c>
      <c r="C13">
        <v>6.1</v>
      </c>
      <c r="D13">
        <v>5</v>
      </c>
      <c r="E13">
        <f>tblLoco[[#This Row],[Max Speed]]-tblLoco[[#This Row],[MAS]]</f>
        <v>1.0999999999999996</v>
      </c>
      <c r="F13">
        <v>3</v>
      </c>
    </row>
    <row r="14" spans="1:6">
      <c r="A14" s="12" t="s">
        <v>120</v>
      </c>
      <c r="B14">
        <v>4.8</v>
      </c>
      <c r="C14">
        <v>6.7</v>
      </c>
      <c r="D14">
        <v>4</v>
      </c>
      <c r="E14">
        <f>tblLoco[[#This Row],[Max Speed]]-tblLoco[[#This Row],[MAS]]</f>
        <v>2.7</v>
      </c>
      <c r="F14">
        <v>3</v>
      </c>
    </row>
    <row r="15" spans="1:6">
      <c r="A15" s="11" t="s">
        <v>109</v>
      </c>
      <c r="B15">
        <v>4.5999999999999996</v>
      </c>
      <c r="C15">
        <v>6.5</v>
      </c>
      <c r="D15">
        <v>4.7</v>
      </c>
      <c r="E15">
        <f>tblLoco[[#This Row],[Max Speed]]-tblLoco[[#This Row],[MAS]]</f>
        <v>1.7999999999999998</v>
      </c>
      <c r="F15">
        <v>3</v>
      </c>
    </row>
    <row r="16" spans="1:6">
      <c r="A16" s="14" t="s">
        <v>112</v>
      </c>
      <c r="B16">
        <v>4.32</v>
      </c>
      <c r="C16">
        <v>6</v>
      </c>
      <c r="D16">
        <v>4.5999999999999996</v>
      </c>
      <c r="E16">
        <f>tblLoco[[#This Row],[Max Speed]]-tblLoco[[#This Row],[MAS]]</f>
        <v>1.4000000000000004</v>
      </c>
      <c r="F16">
        <v>3</v>
      </c>
    </row>
    <row r="17" spans="1:6">
      <c r="A17" s="11" t="s">
        <v>73</v>
      </c>
      <c r="B17">
        <v>5</v>
      </c>
      <c r="C17">
        <v>5.6</v>
      </c>
      <c r="D17">
        <v>4.5999999999999996</v>
      </c>
      <c r="E17">
        <f>tblLoco[[#This Row],[Max Speed]]-tblLoco[[#This Row],[MAS]]</f>
        <v>1</v>
      </c>
      <c r="F17">
        <v>3</v>
      </c>
    </row>
    <row r="18" spans="1:6">
      <c r="A18" s="11" t="s">
        <v>119</v>
      </c>
      <c r="B18">
        <v>4.5999999999999996</v>
      </c>
      <c r="C18">
        <v>5.9</v>
      </c>
      <c r="D18">
        <v>5</v>
      </c>
      <c r="E18">
        <f>tblLoco[[#This Row],[Max Speed]]-tblLoco[[#This Row],[MAS]]</f>
        <v>0.90000000000000036</v>
      </c>
      <c r="F18">
        <v>3</v>
      </c>
    </row>
    <row r="19" spans="1:6">
      <c r="A19" s="11" t="s">
        <v>118</v>
      </c>
      <c r="B19">
        <v>4.9000000000000004</v>
      </c>
      <c r="C19">
        <v>5</v>
      </c>
      <c r="D19">
        <v>4.9000000000000004</v>
      </c>
      <c r="E19">
        <f>tblLoco[[#This Row],[Max Speed]]-tblLoco[[#This Row],[MAS]]</f>
        <v>9.9999999999999645E-2</v>
      </c>
      <c r="F19">
        <v>3</v>
      </c>
    </row>
    <row r="20" spans="1:6">
      <c r="A20" s="11" t="s">
        <v>110</v>
      </c>
      <c r="B20">
        <v>4.8</v>
      </c>
      <c r="C20">
        <v>6.5</v>
      </c>
      <c r="D20">
        <v>4.0999999999999996</v>
      </c>
      <c r="E20">
        <f>tblLoco[[#This Row],[Max Speed]]-tblLoco[[#This Row],[MAS]]</f>
        <v>2.4000000000000004</v>
      </c>
      <c r="F20">
        <v>3</v>
      </c>
    </row>
    <row r="21" spans="1:6">
      <c r="A21" s="11" t="s">
        <v>74</v>
      </c>
      <c r="B21">
        <v>4.5999999999999996</v>
      </c>
      <c r="C21">
        <v>6.6</v>
      </c>
      <c r="D21">
        <v>4</v>
      </c>
      <c r="E21">
        <f>tblLoco[[#This Row],[Max Speed]]-tblLoco[[#This Row],[MAS]]</f>
        <v>2.5999999999999996</v>
      </c>
      <c r="F21">
        <v>3</v>
      </c>
    </row>
    <row r="22" spans="1:6">
      <c r="A22" s="11" t="s">
        <v>108</v>
      </c>
      <c r="B22">
        <v>5</v>
      </c>
      <c r="C22">
        <v>5.9</v>
      </c>
      <c r="D22">
        <v>4.5</v>
      </c>
      <c r="E22">
        <f>tblLoco[[#This Row],[Max Speed]]-tblLoco[[#This Row],[MAS]]</f>
        <v>1.4000000000000004</v>
      </c>
      <c r="F22">
        <v>3</v>
      </c>
    </row>
    <row r="23" spans="1:6">
      <c r="A23" s="14" t="s">
        <v>113</v>
      </c>
      <c r="B23">
        <v>4.9000000000000004</v>
      </c>
      <c r="C23">
        <v>5</v>
      </c>
      <c r="D23">
        <v>4.3</v>
      </c>
      <c r="E23">
        <f>tblLoco[[#This Row],[Max Speed]]-tblLoco[[#This Row],[MAS]]</f>
        <v>0.70000000000000018</v>
      </c>
      <c r="F23">
        <v>3</v>
      </c>
    </row>
    <row r="24" spans="1:6">
      <c r="A24" s="5" t="s">
        <v>75</v>
      </c>
      <c r="B24">
        <v>4.9000000000000004</v>
      </c>
      <c r="C24">
        <v>6</v>
      </c>
      <c r="D24">
        <v>4.9000000000000004</v>
      </c>
      <c r="E24">
        <f>tblLoco[[#This Row],[Max Speed]]-tblLoco[[#This Row],[MAS]]</f>
        <v>1.0999999999999996</v>
      </c>
      <c r="F24">
        <v>3</v>
      </c>
    </row>
  </sheetData>
  <conditionalFormatting sqref="F1:F1048576">
    <cfRule type="cellIs" dxfId="4" priority="1" operator="equal">
      <formula>"Speed-Based"</formula>
    </cfRule>
    <cfRule type="cellIs" dxfId="3" priority="2" operator="equal">
      <formula>"Balanced"</formula>
    </cfRule>
    <cfRule type="cellIs" dxfId="2" priority="3" operator="equal">
      <formula>"Endurance-Based"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A18" workbookViewId="0">
      <selection activeCell="D23" sqref="D23:F23"/>
    </sheetView>
  </sheetViews>
  <sheetFormatPr defaultRowHeight="14.25"/>
  <cols>
    <col min="1" max="1" width="19" customWidth="1"/>
    <col min="2" max="2" width="12.5" customWidth="1"/>
    <col min="4" max="4" width="42.625" customWidth="1"/>
    <col min="8" max="8" width="22.5" customWidth="1"/>
  </cols>
  <sheetData>
    <row r="1" spans="1:12">
      <c r="A1" s="9" t="s">
        <v>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>
      <c r="B4" t="s">
        <v>51</v>
      </c>
      <c r="C4" t="s">
        <v>6</v>
      </c>
    </row>
    <row r="6" spans="1:12" ht="15">
      <c r="A6" s="3" t="s">
        <v>52</v>
      </c>
      <c r="B6" s="3" t="s">
        <v>53</v>
      </c>
    </row>
    <row r="7" spans="1:12" ht="28.5">
      <c r="A7" s="4" t="s">
        <v>54</v>
      </c>
      <c r="B7" s="4" t="str">
        <f>$C$4</f>
        <v>Andreas Michail</v>
      </c>
    </row>
    <row r="8" spans="1:12">
      <c r="A8" s="4" t="s">
        <v>3</v>
      </c>
      <c r="B8" s="4">
        <f>IFERROR(INDEX(tblPlayers[Age],MATCH($C$4,tblPlayers[Player Name],0)),"")</f>
        <v>37</v>
      </c>
    </row>
    <row r="9" spans="1:12">
      <c r="A9" s="4" t="s">
        <v>55</v>
      </c>
      <c r="B9" s="4" t="str">
        <f>IFERROR(INDEX(tblPlayers[Possition],MATCH($C$4,tblPlayers[Player Name],0)),"")</f>
        <v>Central Back</v>
      </c>
    </row>
    <row r="10" spans="1:12">
      <c r="A10" s="4" t="s">
        <v>5</v>
      </c>
      <c r="B10" s="4" t="str">
        <f>IFERROR(INDEX(tblPlayers[Team],MATCH($C$4,tblPlayers[Player Name],0)),"")</f>
        <v>Apollon</v>
      </c>
    </row>
    <row r="12" spans="1:12">
      <c r="A12" s="2" t="s">
        <v>56</v>
      </c>
      <c r="D12" t="s">
        <v>57</v>
      </c>
      <c r="H12" t="s">
        <v>58</v>
      </c>
    </row>
    <row r="13" spans="1:12" ht="15">
      <c r="A13" s="3" t="s">
        <v>59</v>
      </c>
      <c r="B13" s="3" t="s">
        <v>53</v>
      </c>
      <c r="D13" s="3" t="s">
        <v>60</v>
      </c>
      <c r="E13" s="3" t="s">
        <v>53</v>
      </c>
      <c r="F13" s="3" t="s">
        <v>61</v>
      </c>
      <c r="H13" s="3" t="s">
        <v>59</v>
      </c>
      <c r="I13" s="3" t="s">
        <v>53</v>
      </c>
    </row>
    <row r="14" spans="1:12">
      <c r="A14" s="4" t="s">
        <v>62</v>
      </c>
      <c r="B14" s="4">
        <f>IFERROR(INDEX(tblAnthro[Height (m)],MATCH($C$4,tblAnthro[Players],0)),"")</f>
        <v>173</v>
      </c>
      <c r="D14" s="4" t="s">
        <v>99</v>
      </c>
      <c r="E14" s="4">
        <f>IFERROR(INDEX(tblScreen[OHS],MATCH($C$4,tblScreen[Player],0)),"")</f>
        <v>5</v>
      </c>
      <c r="F14" s="4"/>
      <c r="H14" s="4" t="s">
        <v>45</v>
      </c>
      <c r="I14" s="4">
        <f>IFERROR(INDEX(tblLoco[Max Acc],MATCH($C$4,tblLoco[Player],0)),"")</f>
        <v>4.9000000000000004</v>
      </c>
    </row>
    <row r="15" spans="1:12">
      <c r="A15" s="4" t="s">
        <v>63</v>
      </c>
      <c r="B15" s="4">
        <f>IFERROR(INDEX(tblAnthro[Weight (kg)],MATCH($C$4,tblAnthro[Players],0)),"")</f>
        <v>72</v>
      </c>
      <c r="D15" s="4" t="s">
        <v>98</v>
      </c>
      <c r="E15" s="4">
        <f>IFERROR(INDEX(tblScreen[RSI Def %],MATCH($C$4,tblScreen[Player],0)),"")</f>
        <v>18.181818181818183</v>
      </c>
      <c r="F15" s="4"/>
      <c r="H15" s="4" t="s">
        <v>46</v>
      </c>
      <c r="I15" s="4">
        <f>IFERROR(INDEX(tblLoco[Max Speed],MATCH($C$4,tblLoco[Player],0)),"")</f>
        <v>6.8</v>
      </c>
    </row>
    <row r="16" spans="1:12">
      <c r="A16" s="4" t="s">
        <v>12</v>
      </c>
      <c r="B16" s="4">
        <f>IFERROR(INDEX(tblAnthro[BMI],MATCH($C$4,tblAnthro[Players],0)),"")</f>
        <v>2.4056934745564501E-3</v>
      </c>
      <c r="D16" s="4" t="s">
        <v>97</v>
      </c>
      <c r="E16" s="4">
        <f>IFERROR(INDEX(tblScreen[Balance %],MATCH($C$4,tblScreen[Player],0)),"")</f>
        <v>46.153846153846153</v>
      </c>
      <c r="F16" s="4"/>
      <c r="H16" s="4" t="s">
        <v>47</v>
      </c>
      <c r="I16" s="4">
        <f>IFERROR(INDEX(tblLoco[MAS],MATCH($C$4,tblLoco[Player],0)),"")</f>
        <v>4</v>
      </c>
    </row>
    <row r="17" spans="1:9">
      <c r="A17" s="4" t="s">
        <v>64</v>
      </c>
      <c r="B17" s="4">
        <f>IFERROR(INDEX(tblAnthro[Body Fat (%)],MATCH($C$4,tblAnthro[Players],0)),"")</f>
        <v>11</v>
      </c>
      <c r="D17" s="4" t="s">
        <v>106</v>
      </c>
      <c r="E17" s="4">
        <f>IFERROR(INDEX(tblScreen[Groin %],MATCH($C$4,tblScreen[Player],0)),"")</f>
        <v>5.7803468208092488</v>
      </c>
      <c r="F17" s="4"/>
      <c r="H17" s="4" t="s">
        <v>48</v>
      </c>
      <c r="I17" s="4">
        <f>IFERROR(INDEX(tblLoco[ASR],MATCH($C$4,tblLoco[Player],0)),"")</f>
        <v>2.8</v>
      </c>
    </row>
    <row r="18" spans="1:9">
      <c r="A18" s="4" t="s">
        <v>65</v>
      </c>
      <c r="B18" s="4">
        <f>IFERROR(INDEX(tblAnthro[Muscle Mass (kg)],MATCH($C$4,tblAnthro[Players],0)),"")</f>
        <v>52</v>
      </c>
      <c r="D18" s="4" t="s">
        <v>105</v>
      </c>
      <c r="E18" s="4">
        <f>IFERROR(INDEX(tblScreen[Hamstring %],MATCH($C$4,tblScreen[Player],0)),"")</f>
        <v>11.450381679389313</v>
      </c>
      <c r="F18" s="4"/>
      <c r="H18" s="4" t="s">
        <v>49</v>
      </c>
      <c r="I18" s="4">
        <f>IFERROR(INDEX(tblLoco[Profile],MATCH($C$4,tblLoco[Player],0)),"")</f>
        <v>3</v>
      </c>
    </row>
    <row r="19" spans="1:9">
      <c r="D19" s="4" t="s">
        <v>104</v>
      </c>
      <c r="E19" s="4">
        <f>IFERROR(INDEX(tblScreen[Grip %],MATCH($C$4,tblScreen[Player],0)),"")</f>
        <v>13.776722090261293</v>
      </c>
      <c r="F19" s="4"/>
    </row>
    <row r="20" spans="1:9">
      <c r="A20" t="s">
        <v>66</v>
      </c>
      <c r="D20" s="4" t="s">
        <v>103</v>
      </c>
      <c r="E20" s="8" t="str">
        <f>IFERROR(INDEX(tblScreen[Quad %],MATCH($C$4,tblScreen[Player],0)),"")</f>
        <v/>
      </c>
      <c r="F20" s="4"/>
    </row>
    <row r="21" spans="1:9" ht="15">
      <c r="A21" s="3" t="s">
        <v>59</v>
      </c>
      <c r="B21" s="3" t="s">
        <v>53</v>
      </c>
      <c r="D21" s="4" t="s">
        <v>102</v>
      </c>
      <c r="E21" s="8" t="str">
        <f>IFERROR(INDEX(tblScreen[Hip Abd %],MATCH($C$4,tblScreen[Player],0)),"")</f>
        <v/>
      </c>
      <c r="F21" s="4"/>
    </row>
    <row r="22" spans="1:9">
      <c r="A22" s="4" t="s">
        <v>32</v>
      </c>
      <c r="B22" s="4">
        <f>IFERROR(INDEX(tblPerf[SJ],MATCH($C$4,tblPerf[Player],0)),"")</f>
        <v>28.2</v>
      </c>
      <c r="D22" s="4" t="s">
        <v>101</v>
      </c>
      <c r="E22" s="8" t="str">
        <f>IFERROR(INDEX(tblScreen[Ankle DF %],MATCH($C$4,tblScreen[Player],0)),"")</f>
        <v/>
      </c>
      <c r="F22" s="4"/>
    </row>
    <row r="23" spans="1:9">
      <c r="A23" s="4" t="s">
        <v>33</v>
      </c>
      <c r="B23" s="4">
        <f>IFERROR(INDEX(tblPerf[CMJ],MATCH($C$4,tblPerf[Player],0)),"")</f>
        <v>34.799999999999997</v>
      </c>
      <c r="D23" s="4" t="s">
        <v>100</v>
      </c>
      <c r="E23" s="8" t="str">
        <f>IFERROR(INDEX(tblScreen[Hop %],MATCH($C$4,tblScreen[Player],0)),"")</f>
        <v/>
      </c>
      <c r="F23" s="4"/>
    </row>
    <row r="24" spans="1:9">
      <c r="A24" s="4" t="s">
        <v>67</v>
      </c>
      <c r="B24" s="4">
        <f>IFERROR(INDEX(tblPerf[Strenght Def %],MATCH($C$4,tblPerf[Player],0)),"")</f>
        <v>18.965517241379306</v>
      </c>
    </row>
    <row r="25" spans="1:9">
      <c r="A25" s="4" t="s">
        <v>68</v>
      </c>
      <c r="B25" s="4">
        <f>IFERROR(INDEX(tblPerf[Peak Power %],MATCH($C$4,tblPerf[Player],0)),"")</f>
        <v>1.8</v>
      </c>
    </row>
    <row r="26" spans="1:9">
      <c r="A26" s="4" t="s">
        <v>38</v>
      </c>
      <c r="B26" s="4">
        <f>IFERROR(INDEX(tblPerf[10m],MATCH($C$4,tblPerf[Player],0)),"")</f>
        <v>1.7450000000000001</v>
      </c>
    </row>
    <row r="27" spans="1:9">
      <c r="A27" s="4" t="s">
        <v>39</v>
      </c>
      <c r="B27" s="4">
        <f>IFERROR(INDEX(tblPerf[40m],MATCH($C$4,tblPerf[Player],0)),"")</f>
        <v>4.6539999999999999</v>
      </c>
    </row>
    <row r="28" spans="1:9">
      <c r="A28" s="4" t="s">
        <v>43</v>
      </c>
      <c r="B28" s="4">
        <f>IFERROR(INDEX(tblPerf[COD Def %],MATCH($C$4,tblPerf[Player],0)),"")</f>
        <v>3.6515912897822438</v>
      </c>
    </row>
    <row r="29" spans="1:9">
      <c r="A29" s="4" t="s">
        <v>44</v>
      </c>
      <c r="B29" s="4">
        <f>IFERROR(INDEX(tblPerf[Beep Test],MATCH($C$4,tblPerf[Player],0)),"")</f>
        <v>89</v>
      </c>
    </row>
  </sheetData>
  <mergeCells count="1">
    <mergeCell ref="A1:L2"/>
  </mergeCells>
  <pageMargins left="0.25" right="0.25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PLAYERS!$B$2:$B$100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PLAYERS</vt:lpstr>
      <vt:lpstr>ANTHROPOMETRICS</vt:lpstr>
      <vt:lpstr>SCREENING</vt:lpstr>
      <vt:lpstr>PERFORMANCE</vt:lpstr>
      <vt:lpstr>LOCOMOTOR</vt:lpstr>
      <vt:lpstr>REPORT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Michael</dc:creator>
  <cp:keywords/>
  <dc:description/>
  <cp:lastModifiedBy>Christos</cp:lastModifiedBy>
  <cp:revision/>
  <dcterms:created xsi:type="dcterms:W3CDTF">2026-06-21T10:54:12Z</dcterms:created>
  <dcterms:modified xsi:type="dcterms:W3CDTF">2026-07-18T14:54:13Z</dcterms:modified>
  <cp:category/>
  <cp:contentStatus/>
</cp:coreProperties>
</file>